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Builds" sheetId="3" state="visible" r:id="rId5"/>
    <sheet name="Simulation" sheetId="4" state="visible" r:id="rId6"/>
    <sheet name="Pass check" sheetId="5" state="visible" r:id="rId7"/>
    <sheet name="Progression" sheetId="6" state="visible" r:id="rId8"/>
    <sheet name="Sprea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<sst xmlns="http://schemas.openxmlformats.org/spreadsheetml/2006/main" count="370" uniqueCount="171">
  <si>
    <t xml:space="preserve">Rovem — Component, Mission and Progression Values (Proposal)</t>
  </si>
  <si>
    <t xml:space="preserve">All input values are proposals, set by reasoning and simulation, to be confirmed in playtesting.</t>
  </si>
  <si>
    <t xml:space="preserve">Legend</t>
  </si>
  <si>
    <t xml:space="preserve">Blue text on yellow = proposed input. Change these to rebalance; formulas update.</t>
  </si>
  <si>
    <t xml:space="preserve">Black text = formula. Green fill = passes, red fill = fails.</t>
  </si>
  <si>
    <t xml:space="preserve">Sheets</t>
  </si>
  <si>
    <t xml:space="preserve">Inputs: constants, parts, surfaces, mission parameters and power-ups.</t>
  </si>
  <si>
    <t xml:space="preserve">Builds: every chassis × wheels × motor combination, calculated with the Physics Model Specification formulas.</t>
  </si>
  <si>
    <t xml:space="preserve">Simulation: results of the step-by-step simulation in the Physics Model Specification (1/120 s steps; throttle and brake levels read at the end of each step; finish time is the end of the step that reaches the line), used to set the mission limits.</t>
  </si>
  <si>
    <t xml:space="preserve">Pass check: which builds pass each mission, using the simulation results and the mission limits.</t>
  </si>
  <si>
    <t xml:space="preserve">Progression: Knowledge earned and spent.</t>
  </si>
  <si>
    <t xml:space="preserve">Spread: lowest and highest value of each result, to check that part choices matter.</t>
  </si>
  <si>
    <t xml:space="preserve">Formulas used (Physics Model Specification)</t>
  </si>
  <si>
    <t xml:space="preserve">m = chassis + wheels + motor mass;  R = mg;  rolling friction F_r = μ_r × k_r × R;  grip limit F_lim = μ_g × k_g × R</t>
  </si>
  <si>
    <t xml:space="preserve">Max acceleration a = (min(F_d,max, F_lim) − F_r) / m;  max braking deceleration = (min(F_b,max, F_lim) + F_r) / m</t>
  </si>
  <si>
    <t xml:space="preserve">Mission 1: if top speed is reached first, t = v_max / a + (S − v_max² / 2a) / v_max; otherwise t = √(2S / a)</t>
  </si>
  <si>
    <t xml:space="preserve">Mission 2: ice time t = √(2L / a_ice); coasting distance on sand S = v² / (2 μ_r k_r g) with v² = 2 a_ice L, so mass and motor cancel</t>
  </si>
  <si>
    <t xml:space="preserve">Mission 3: brake force builds up linearly over T_b (capped by grip), then stays at full; distance = build-up distance + v² / 2a</t>
  </si>
  <si>
    <t xml:space="preserve">Notes</t>
  </si>
  <si>
    <t xml:space="preserve">Builds sheet Mission 1 and 2 times ignore the throttle build-up; the Simulation sheet includes it (about 0.1–0.5 s more).</t>
  </si>
  <si>
    <t xml:space="preserve">g = 9.8 m/s² as in the textbook. Question numericals state g = 10 m/s².</t>
  </si>
  <si>
    <t xml:space="preserve">One rover model in the MVP, so one maximum brake force for every build.</t>
  </si>
  <si>
    <t xml:space="preserve">Spread counts the faster Mission 1 route from the Simulation sheet (17 of 27 builds), as the SRS states. Builds column U uses the closed-form times, which ignore throttle build-up, and shows 18.</t>
  </si>
  <si>
    <t xml:space="preserve">Mission 3 is on asphalt. The rover is towed at 15 m/s and released at the first brake input after the brake line; stopping distance is measured from that input.</t>
  </si>
  <si>
    <t xml:space="preserve">Mission 2 coasting distance is measured from the rover's position at the end of the step that reaches the power-cut line.</t>
  </si>
  <si>
    <t xml:space="preserve">Inputs (proposals)</t>
  </si>
  <si>
    <t xml:space="preserve">Constant</t>
  </si>
  <si>
    <t xml:space="preserve">Value</t>
  </si>
  <si>
    <t xml:space="preserve">Reason</t>
  </si>
  <si>
    <t xml:space="preserve">g (m/s²)</t>
  </si>
  <si>
    <t xml:space="preserve">Textbook value</t>
  </si>
  <si>
    <t xml:space="preserve">Maximum brake force F_b,max (N)</t>
  </si>
  <si>
    <t xml:space="preserve">Below the grip limit of mid and heavy builds, so mass visibly lengthens stopping; light builds hit the grip limit instead</t>
  </si>
  <si>
    <t xml:space="preserve">Brake build-up time T_b (s)</t>
  </si>
  <si>
    <t xml:space="preserve">Physics Model Specification</t>
  </si>
  <si>
    <t xml:space="preserve">Rover length (m)</t>
  </si>
  <si>
    <t xml:space="preserve">Sets the Mission 3 stopping window</t>
  </si>
  <si>
    <t xml:space="preserve">Throttle build-up time T_t (s)</t>
  </si>
  <si>
    <t xml:space="preserve">Part</t>
  </si>
  <si>
    <t xml:space="preserve">Slot</t>
  </si>
  <si>
    <t xml:space="preserve">Mass (kg)</t>
  </si>
  <si>
    <t xml:space="preserve">F_d,max (N)</t>
  </si>
  <si>
    <t xml:space="preserve">Rolling factor k_r</t>
  </si>
  <si>
    <t xml:space="preserve">Grip factor k_g</t>
  </si>
  <si>
    <t xml:space="preserve">Top speed v_max (m/s)</t>
  </si>
  <si>
    <t xml:space="preserve">Available at start</t>
  </si>
  <si>
    <t xml:space="preserve">Light chassis</t>
  </si>
  <si>
    <t xml:space="preserve">Chassis</t>
  </si>
  <si>
    <t xml:space="preserve">No (15 Knowledge)</t>
  </si>
  <si>
    <t xml:space="preserve">Standard chassis</t>
  </si>
  <si>
    <t xml:space="preserve">Yes</t>
  </si>
  <si>
    <t xml:space="preserve">Heavy chassis</t>
  </si>
  <si>
    <t xml:space="preserve">Smooth wheels</t>
  </si>
  <si>
    <t xml:space="preserve">Wheels</t>
  </si>
  <si>
    <t xml:space="preserve">All-terrain wheels</t>
  </si>
  <si>
    <t xml:space="preserve">Spiked wheels</t>
  </si>
  <si>
    <t xml:space="preserve">Small motor</t>
  </si>
  <si>
    <t xml:space="preserve">Motor</t>
  </si>
  <si>
    <t xml:space="preserve">Medium motor</t>
  </si>
  <si>
    <t xml:space="preserve">Large motor</t>
  </si>
  <si>
    <t xml:space="preserve">Surface</t>
  </si>
  <si>
    <t xml:space="preserve">Rolling friction μ_r</t>
  </si>
  <si>
    <t xml:space="preserve">Grip μ_g</t>
  </si>
  <si>
    <t xml:space="preserve">Asphalt</t>
  </si>
  <si>
    <t xml:space="preserve">Sand</t>
  </si>
  <si>
    <t xml:space="preserve">Ice</t>
  </si>
  <si>
    <t xml:space="preserve">Mission parameter</t>
  </si>
  <si>
    <t xml:space="preserve">M1: asphalt route length (m)</t>
  </si>
  <si>
    <t xml:space="preserve">With the sand shortcut, makes the faster route depend on the build</t>
  </si>
  <si>
    <t xml:space="preserve">M1: sand shortcut length (m)</t>
  </si>
  <si>
    <t xml:space="preserve">Shorter but slower to accelerate on; favours strong motors and grippy wheels</t>
  </si>
  <si>
    <t xml:space="preserve">M1: time limit (s)</t>
  </si>
  <si>
    <t xml:space="preserve">Starting build passes on either route if driven cleanly (0.5–0.85 s spare); heavy, weak-motor builds fail</t>
  </si>
  <si>
    <t xml:space="preserve">M2: ice launch strip length (m)</t>
  </si>
  <si>
    <t xml:space="preserve">Long enough for grip differences to show in time</t>
  </si>
  <si>
    <t xml:space="preserve">M2: time limit to cross the ice (s)</t>
  </si>
  <si>
    <t xml:space="preserve">All-terrain passes with 0.36 s spare; smooth wheels fail (too little grip)</t>
  </si>
  <si>
    <t xml:space="preserve">M2: coasting target into the sand (m)</t>
  </si>
  <si>
    <t xml:space="preserve">All-terrain passes with 1.3 m spare; spiked wheels fail (too much rolling friction)</t>
  </si>
  <si>
    <t xml:space="preserve">M3: approach speed (m/s)</t>
  </si>
  <si>
    <t xml:space="preserve">Fast enough that braking distance is clearly longer than the zone. Above the Large motor's 14 m/s top speed, so a tow line holds this speed on asphalt until the first brake input after the brake line</t>
  </si>
  <si>
    <t xml:space="preserve">M3: zone length (m)</t>
  </si>
  <si>
    <t xml:space="preserve">With a 2 m rover, leaves a 4 m window: about 0.27 s of timing at 15 m/s</t>
  </si>
  <si>
    <t xml:space="preserve">M3: brake line, distance before zone end (m)</t>
  </si>
  <si>
    <t xml:space="preserve">Braking allowed only after this line. The starting build needs 18.8 m; 4 of the 9 heavy builds need more than 23 m and pass with Brake boost or lighter parts</t>
  </si>
  <si>
    <t xml:space="preserve">Power-up</t>
  </si>
  <si>
    <t xml:space="preserve">Mission</t>
  </si>
  <si>
    <t xml:space="preserve">Variable</t>
  </si>
  <si>
    <t xml:space="preserve">Multiplier</t>
  </si>
  <si>
    <t xml:space="preserve">What it teaches</t>
  </si>
  <si>
    <t xml:space="preserve">Motor boost</t>
  </si>
  <si>
    <t xml:space="preserve">F_d,max</t>
  </si>
  <si>
    <t xml:space="preserve">More force, more acceleration (F = ma)</t>
  </si>
  <si>
    <t xml:space="preserve">Lighter load</t>
  </si>
  <si>
    <t xml:space="preserve">m</t>
  </si>
  <si>
    <t xml:space="preserve">Less mass, more acceleration from the same force</t>
  </si>
  <si>
    <t xml:space="preserve">Grip tyres</t>
  </si>
  <si>
    <t xml:space="preserve">k_g</t>
  </si>
  <si>
    <t xml:space="preserve">Grip limits the force tyres can pass on ice</t>
  </si>
  <si>
    <t xml:space="preserve">Smooth bearings</t>
  </si>
  <si>
    <t xml:space="preserve">k_r</t>
  </si>
  <si>
    <t xml:space="preserve">Less rolling friction, longer coasting distance</t>
  </si>
  <si>
    <t xml:space="preserve">Brake boost</t>
  </si>
  <si>
    <t xml:space="preserve">F_b,max</t>
  </si>
  <si>
    <t xml:space="preserve">More brake force stops a heavy rover sooner, unless grip is the limit</t>
  </si>
  <si>
    <t xml:space="preserve">When grip is the limit, more grip shortens stopping</t>
  </si>
  <si>
    <t xml:space="preserve">One power-up is active at a time; taking another replaces it. It lasts for the rest of the attempt.</t>
  </si>
  <si>
    <t xml:space="preserve">Every build (all values calculated)</t>
  </si>
  <si>
    <t xml:space="preserve">Mass m (kg)</t>
  </si>
  <si>
    <t xml:space="preserve">R (N)</t>
  </si>
  <si>
    <t xml:space="preserve">v_max (m/s)</t>
  </si>
  <si>
    <t xml:space="preserve">Max accel, asphalt (m/s²)</t>
  </si>
  <si>
    <t xml:space="preserve">Max accel, sand (m/s²)</t>
  </si>
  <si>
    <t xml:space="preserve">Max accel, ice (m/s²)</t>
  </si>
  <si>
    <t xml:space="preserve">Braking decel, asphalt (m/s²)</t>
  </si>
  <si>
    <t xml:space="preserve">Braking decel, sand (m/s²)</t>
  </si>
  <si>
    <t xml:space="preserve">Braking decel, ice (m/s²)</t>
  </si>
  <si>
    <t xml:space="preserve">Coasting decel, asphalt (m/s²)</t>
  </si>
  <si>
    <t xml:space="preserve">Coasting decel, sand (m/s²)</t>
  </si>
  <si>
    <t xml:space="preserve">Coasting decel, ice (m/s²)</t>
  </si>
  <si>
    <t xml:space="preserve">M1 time, asphalt route (s)</t>
  </si>
  <si>
    <t xml:space="preserve">M1 time, sand shortcut (s)</t>
  </si>
  <si>
    <t xml:space="preserve">M1 faster route</t>
  </si>
  <si>
    <t xml:space="preserve">M2 ice time (s)</t>
  </si>
  <si>
    <t xml:space="preserve">M2 coasting distance (m)</t>
  </si>
  <si>
    <t xml:space="preserve">M3 braking limited by</t>
  </si>
  <si>
    <t xml:space="preserve">M3 stopping distance incl. build-up (m)</t>
  </si>
  <si>
    <t xml:space="preserve">Step-by-step simulation results</t>
  </si>
  <si>
    <t xml:space="preserve">Output of the simulation (1/120 s steps, throttle build-up 1.0 s, brake build-up 0.5 s, full throttle, straight path). Values, not formulas: rerun the simulation after changing inputs.</t>
  </si>
  <si>
    <t xml:space="preserve">M3 stopping distance (m)</t>
  </si>
  <si>
    <t xml:space="preserve">Which builds pass each mission (simulation results against mission limits)</t>
  </si>
  <si>
    <t xml:space="preserve">M1: best time (s)</t>
  </si>
  <si>
    <t xml:space="preserve">M1 passes</t>
  </si>
  <si>
    <t xml:space="preserve">M2: ice time (s)</t>
  </si>
  <si>
    <t xml:space="preserve">M2: coast (m)</t>
  </si>
  <si>
    <t xml:space="preserve">M2 passes</t>
  </si>
  <si>
    <t xml:space="preserve">M3: stopping distance (m)</t>
  </si>
  <si>
    <t xml:space="preserve">M3 passes</t>
  </si>
  <si>
    <t xml:space="preserve">All three</t>
  </si>
  <si>
    <t xml:space="preserve">Builds passing</t>
  </si>
  <si>
    <t xml:space="preserve">Starting build (Standard, All-terrain, Medium) passes all three</t>
  </si>
  <si>
    <t xml:space="preserve">Knowledge earned and spent</t>
  </si>
  <si>
    <t xml:space="preserve">Earned by</t>
  </si>
  <si>
    <t xml:space="preserve">Count</t>
  </si>
  <si>
    <t xml:space="preserve">Points each</t>
  </si>
  <si>
    <t xml:space="preserve">Points available</t>
  </si>
  <si>
    <t xml:space="preserve">Required questions (3 per mission)</t>
  </si>
  <si>
    <t xml:space="preserve">Core learning; the main income</t>
  </si>
  <si>
    <t xml:space="preserve">Power-up questions (2 per mission)</t>
  </si>
  <si>
    <t xml:space="preserve">Optional; the power-up itself is the main reward</t>
  </si>
  <si>
    <t xml:space="preserve">Unlock questions (2 per mission concept)</t>
  </si>
  <si>
    <t xml:space="preserve">Optional; a second route to Knowledge so no student gets stuck</t>
  </si>
  <si>
    <t xml:space="preserve">Total Knowledge available</t>
  </si>
  <si>
    <t xml:space="preserve">Unlocks</t>
  </si>
  <si>
    <t xml:space="preserve">Cost in points</t>
  </si>
  <si>
    <t xml:space="preserve">Total points</t>
  </si>
  <si>
    <t xml:space="preserve">Cost in cleared required questions</t>
  </si>
  <si>
    <t xml:space="preserve">Mission 2 and Mission 3</t>
  </si>
  <si>
    <t xml:space="preserve">Equals 2 of the previous mission's 3 required questions, so one miss never blocks progress</t>
  </si>
  <si>
    <t xml:space="preserve">Unlock a part (6 locked parts)</t>
  </si>
  <si>
    <t xml:space="preserve">Same price for every part: parts are trade-offs, not upgrades</t>
  </si>
  <si>
    <t xml:space="preserve">Total Knowledge needed to unlock everything</t>
  </si>
  <si>
    <t xml:space="preserve">Spare Knowledge</t>
  </si>
  <si>
    <t xml:space="preserve">Share of all Knowledge needed to unlock everything</t>
  </si>
  <si>
    <t xml:space="preserve">Knowledge is earned the first time a question is cleared. Values are flat (no first-attempt bonus), so a wrong first answer costs nothing but time.</t>
  </si>
  <si>
    <t xml:space="preserve">Spread of results across all 27 builds</t>
  </si>
  <si>
    <t xml:space="preserve">Result</t>
  </si>
  <si>
    <t xml:space="preserve">Lowest</t>
  </si>
  <si>
    <t xml:space="preserve">Highest</t>
  </si>
  <si>
    <t xml:space="preserve">Highest ÷ lowest</t>
  </si>
  <si>
    <t xml:space="preserve">Builds where the sand shortcut is faster in Mission 1 (simulation)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</si>
</sst>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33399"/>
      </patternFill>
    </fill>
    <fill>
      <patternFill patternType="solid">
        <fgColor rgb="FFFFF9D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FF3E3"/>
        </patternFill>
      </fill>
    </dxf>
    <dxf>
      <fill>
        <patternFill>
          <bgColor rgb="FFFBE3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3"/>
      <rgbColor rgb="FFFFFF99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false" outlineLevel="0" collapsed="false">
      <c r="A28" s="4" t="s">
        <v>23</v>
      </c>
    </row>
    <row r="29" customFormat="false" ht="15" hidden="false" customHeight="false" outlineLevel="0" collapsed="false">
      <c r="A29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2" t="s">
        <v>25</v>
      </c>
    </row>
    <row r="2" customFormat="false" ht="15" hidden="false" customHeight="true" outlineLevel="0" collapsed="false">
      <c r="A2" s="6" t="s">
        <v>26</v>
      </c>
      <c r="B2" s="6" t="s">
        <v>27</v>
      </c>
      <c r="C2" s="6" t="s">
        <v>28</v>
      </c>
    </row>
    <row r="3" customFormat="false" ht="15" hidden="false" customHeight="true" outlineLevel="0" collapsed="false">
      <c r="A3" s="4" t="s">
        <v>29</v>
      </c>
      <c r="B3" s="7" t="n">
        <v>9.8</v>
      </c>
      <c r="C3" s="4" t="s">
        <v>30</v>
      </c>
    </row>
    <row r="4" customFormat="false" ht="15" hidden="false" customHeight="true" outlineLevel="0" collapsed="false">
      <c r="A4" s="4" t="s">
        <v>31</v>
      </c>
      <c r="B4" s="7" t="n">
        <v>1500</v>
      </c>
      <c r="C4" s="4" t="s">
        <v>32</v>
      </c>
    </row>
    <row r="5" customFormat="false" ht="15" hidden="false" customHeight="true" outlineLevel="0" collapsed="false">
      <c r="A5" s="4" t="s">
        <v>33</v>
      </c>
      <c r="B5" s="7" t="n">
        <v>0.5</v>
      </c>
      <c r="C5" s="4" t="s">
        <v>34</v>
      </c>
    </row>
    <row r="6" customFormat="false" ht="15" hidden="false" customHeight="true" outlineLevel="0" collapsed="false">
      <c r="A6" s="4" t="s">
        <v>35</v>
      </c>
      <c r="B6" s="7" t="n">
        <v>2</v>
      </c>
      <c r="C6" s="4" t="s">
        <v>36</v>
      </c>
    </row>
    <row r="7" customFormat="false" ht="15" hidden="false" customHeight="false" outlineLevel="0" collapsed="false">
      <c r="A7" s="4" t="s">
        <v>37</v>
      </c>
      <c r="B7" s="7" t="n">
        <v>1</v>
      </c>
      <c r="C7" s="4" t="s">
        <v>34</v>
      </c>
    </row>
    <row r="9" customFormat="false" ht="26.25" hidden="false" customHeight="true" outlineLevel="0" collapsed="false">
      <c r="A9" s="6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  <c r="G9" s="6" t="s">
        <v>44</v>
      </c>
      <c r="H9" s="6" t="s">
        <v>45</v>
      </c>
    </row>
    <row r="10" customFormat="false" ht="15" hidden="false" customHeight="true" outlineLevel="0" collapsed="false">
      <c r="A10" s="4" t="s">
        <v>46</v>
      </c>
      <c r="B10" s="4" t="s">
        <v>47</v>
      </c>
      <c r="C10" s="7" t="n">
        <v>120</v>
      </c>
      <c r="D10" s="4"/>
      <c r="E10" s="4"/>
      <c r="F10" s="4"/>
      <c r="G10" s="4"/>
      <c r="H10" s="4" t="s">
        <v>48</v>
      </c>
    </row>
    <row r="11" customFormat="false" ht="15" hidden="false" customHeight="true" outlineLevel="0" collapsed="false">
      <c r="A11" s="4" t="s">
        <v>49</v>
      </c>
      <c r="B11" s="4" t="s">
        <v>47</v>
      </c>
      <c r="C11" s="7" t="n">
        <v>160</v>
      </c>
      <c r="D11" s="4"/>
      <c r="E11" s="4"/>
      <c r="F11" s="4"/>
      <c r="G11" s="4"/>
      <c r="H11" s="4" t="s">
        <v>50</v>
      </c>
    </row>
    <row r="12" customFormat="false" ht="15" hidden="false" customHeight="true" outlineLevel="0" collapsed="false">
      <c r="A12" s="4" t="s">
        <v>51</v>
      </c>
      <c r="B12" s="4" t="s">
        <v>47</v>
      </c>
      <c r="C12" s="7" t="n">
        <v>220</v>
      </c>
      <c r="D12" s="4"/>
      <c r="E12" s="4"/>
      <c r="F12" s="4"/>
      <c r="G12" s="4"/>
      <c r="H12" s="4" t="s">
        <v>48</v>
      </c>
    </row>
    <row r="13" customFormat="false" ht="15" hidden="false" customHeight="true" outlineLevel="0" collapsed="false">
      <c r="A13" s="4" t="s">
        <v>52</v>
      </c>
      <c r="B13" s="4" t="s">
        <v>53</v>
      </c>
      <c r="C13" s="7" t="n">
        <v>16</v>
      </c>
      <c r="D13" s="4"/>
      <c r="E13" s="7" t="n">
        <v>0.6</v>
      </c>
      <c r="F13" s="7" t="n">
        <v>0.8</v>
      </c>
      <c r="G13" s="4"/>
      <c r="H13" s="4" t="s">
        <v>48</v>
      </c>
    </row>
    <row r="14" customFormat="false" ht="15" hidden="false" customHeight="true" outlineLevel="0" collapsed="false">
      <c r="A14" s="4" t="s">
        <v>54</v>
      </c>
      <c r="B14" s="4" t="s">
        <v>53</v>
      </c>
      <c r="C14" s="7" t="n">
        <v>24</v>
      </c>
      <c r="D14" s="4"/>
      <c r="E14" s="7" t="n">
        <v>1</v>
      </c>
      <c r="F14" s="7" t="n">
        <v>1</v>
      </c>
      <c r="G14" s="4"/>
      <c r="H14" s="4" t="s">
        <v>50</v>
      </c>
    </row>
    <row r="15" customFormat="false" ht="15" hidden="false" customHeight="true" outlineLevel="0" collapsed="false">
      <c r="A15" s="4" t="s">
        <v>55</v>
      </c>
      <c r="B15" s="4" t="s">
        <v>53</v>
      </c>
      <c r="C15" s="7" t="n">
        <v>32</v>
      </c>
      <c r="D15" s="4"/>
      <c r="E15" s="7" t="n">
        <v>1.6</v>
      </c>
      <c r="F15" s="7" t="n">
        <v>1.4</v>
      </c>
      <c r="G15" s="4"/>
      <c r="H15" s="4" t="s">
        <v>48</v>
      </c>
    </row>
    <row r="16" customFormat="false" ht="15" hidden="false" customHeight="true" outlineLevel="0" collapsed="false">
      <c r="A16" s="4" t="s">
        <v>56</v>
      </c>
      <c r="B16" s="4" t="s">
        <v>57</v>
      </c>
      <c r="C16" s="7" t="n">
        <v>15</v>
      </c>
      <c r="D16" s="7" t="n">
        <v>700</v>
      </c>
      <c r="E16" s="4"/>
      <c r="F16" s="4"/>
      <c r="G16" s="7" t="n">
        <v>18</v>
      </c>
      <c r="H16" s="4" t="s">
        <v>48</v>
      </c>
    </row>
    <row r="17" customFormat="false" ht="15" hidden="false" customHeight="true" outlineLevel="0" collapsed="false">
      <c r="A17" s="4" t="s">
        <v>58</v>
      </c>
      <c r="B17" s="4" t="s">
        <v>57</v>
      </c>
      <c r="C17" s="7" t="n">
        <v>25</v>
      </c>
      <c r="D17" s="7" t="n">
        <v>1000</v>
      </c>
      <c r="E17" s="4"/>
      <c r="F17" s="4"/>
      <c r="G17" s="7" t="n">
        <v>16</v>
      </c>
      <c r="H17" s="4" t="s">
        <v>50</v>
      </c>
    </row>
    <row r="18" customFormat="false" ht="15" hidden="false" customHeight="true" outlineLevel="0" collapsed="false">
      <c r="A18" s="4" t="s">
        <v>59</v>
      </c>
      <c r="B18" s="4" t="s">
        <v>57</v>
      </c>
      <c r="C18" s="7" t="n">
        <v>40</v>
      </c>
      <c r="D18" s="7" t="n">
        <v>1400</v>
      </c>
      <c r="E18" s="4"/>
      <c r="F18" s="4"/>
      <c r="G18" s="7" t="n">
        <v>14</v>
      </c>
      <c r="H18" s="4" t="s">
        <v>48</v>
      </c>
    </row>
    <row r="21" customFormat="false" ht="26.25" hidden="false" customHeight="true" outlineLevel="0" collapsed="false">
      <c r="A21" s="6" t="s">
        <v>60</v>
      </c>
      <c r="B21" s="6" t="s">
        <v>61</v>
      </c>
      <c r="C21" s="6" t="s">
        <v>62</v>
      </c>
    </row>
    <row r="22" customFormat="false" ht="15" hidden="false" customHeight="true" outlineLevel="0" collapsed="false">
      <c r="A22" s="4" t="s">
        <v>63</v>
      </c>
      <c r="B22" s="7" t="n">
        <v>0.02</v>
      </c>
      <c r="C22" s="7" t="n">
        <v>0.8</v>
      </c>
    </row>
    <row r="23" customFormat="false" ht="15" hidden="false" customHeight="true" outlineLevel="0" collapsed="false">
      <c r="A23" s="4" t="s">
        <v>64</v>
      </c>
      <c r="B23" s="7" t="n">
        <v>0.12</v>
      </c>
      <c r="C23" s="7" t="n">
        <v>0.5</v>
      </c>
    </row>
    <row r="24" customFormat="false" ht="15" hidden="false" customHeight="true" outlineLevel="0" collapsed="false">
      <c r="A24" s="4" t="s">
        <v>65</v>
      </c>
      <c r="B24" s="7" t="n">
        <v>0.01</v>
      </c>
      <c r="C24" s="7" t="n">
        <v>0.1</v>
      </c>
    </row>
    <row r="27" customFormat="false" ht="15" hidden="false" customHeight="true" outlineLevel="0" collapsed="false">
      <c r="A27" s="6" t="s">
        <v>66</v>
      </c>
      <c r="B27" s="6" t="s">
        <v>27</v>
      </c>
      <c r="C27" s="6" t="s">
        <v>28</v>
      </c>
    </row>
    <row r="28" customFormat="false" ht="15" hidden="false" customHeight="true" outlineLevel="0" collapsed="false">
      <c r="A28" s="4" t="s">
        <v>67</v>
      </c>
      <c r="B28" s="7" t="n">
        <v>100</v>
      </c>
      <c r="C28" s="4" t="s">
        <v>68</v>
      </c>
    </row>
    <row r="29" customFormat="false" ht="15" hidden="false" customHeight="true" outlineLevel="0" collapsed="false">
      <c r="A29" s="4" t="s">
        <v>69</v>
      </c>
      <c r="B29" s="7" t="n">
        <v>85</v>
      </c>
      <c r="C29" s="4" t="s">
        <v>70</v>
      </c>
    </row>
    <row r="30" customFormat="false" ht="15" hidden="false" customHeight="true" outlineLevel="0" collapsed="false">
      <c r="A30" s="4" t="s">
        <v>71</v>
      </c>
      <c r="B30" s="7" t="n">
        <v>9</v>
      </c>
      <c r="C30" s="4" t="s">
        <v>72</v>
      </c>
    </row>
    <row r="31" customFormat="false" ht="15" hidden="false" customHeight="true" outlineLevel="0" collapsed="false">
      <c r="A31" s="4" t="s">
        <v>73</v>
      </c>
      <c r="B31" s="7" t="n">
        <v>25</v>
      </c>
      <c r="C31" s="4" t="s">
        <v>74</v>
      </c>
    </row>
    <row r="32" customFormat="false" ht="15" hidden="false" customHeight="true" outlineLevel="0" collapsed="false">
      <c r="A32" s="4" t="s">
        <v>75</v>
      </c>
      <c r="B32" s="7" t="n">
        <v>8</v>
      </c>
      <c r="C32" s="4" t="s">
        <v>76</v>
      </c>
    </row>
    <row r="33" customFormat="false" ht="15" hidden="false" customHeight="true" outlineLevel="0" collapsed="false">
      <c r="A33" s="4" t="s">
        <v>77</v>
      </c>
      <c r="B33" s="7" t="n">
        <v>17.5</v>
      </c>
      <c r="C33" s="4" t="s">
        <v>78</v>
      </c>
    </row>
    <row r="34" customFormat="false" ht="15" hidden="false" customHeight="true" outlineLevel="0" collapsed="false">
      <c r="A34" s="4" t="s">
        <v>79</v>
      </c>
      <c r="B34" s="7" t="n">
        <v>15</v>
      </c>
      <c r="C34" s="4" t="s">
        <v>80</v>
      </c>
    </row>
    <row r="35" customFormat="false" ht="15" hidden="false" customHeight="true" outlineLevel="0" collapsed="false">
      <c r="A35" s="4" t="s">
        <v>81</v>
      </c>
      <c r="B35" s="7" t="n">
        <v>6</v>
      </c>
      <c r="C35" s="4" t="s">
        <v>82</v>
      </c>
    </row>
    <row r="36" customFormat="false" ht="15" hidden="false" customHeight="true" outlineLevel="0" collapsed="false">
      <c r="A36" s="4" t="s">
        <v>83</v>
      </c>
      <c r="B36" s="7" t="n">
        <v>23</v>
      </c>
      <c r="C36" s="4" t="s">
        <v>84</v>
      </c>
    </row>
    <row r="39" customFormat="false" ht="15" hidden="false" customHeight="true" outlineLevel="0" collapsed="false">
      <c r="A39" s="6" t="s">
        <v>85</v>
      </c>
      <c r="B39" s="6" t="s">
        <v>86</v>
      </c>
      <c r="C39" s="6" t="s">
        <v>87</v>
      </c>
      <c r="D39" s="6" t="s">
        <v>88</v>
      </c>
      <c r="E39" s="6" t="s">
        <v>89</v>
      </c>
    </row>
    <row r="40" customFormat="false" ht="15" hidden="false" customHeight="true" outlineLevel="0" collapsed="false">
      <c r="A40" s="4" t="s">
        <v>90</v>
      </c>
      <c r="B40" s="4" t="n">
        <v>1</v>
      </c>
      <c r="C40" s="4" t="s">
        <v>91</v>
      </c>
      <c r="D40" s="7" t="n">
        <v>1.2</v>
      </c>
      <c r="E40" s="4" t="s">
        <v>92</v>
      </c>
    </row>
    <row r="41" customFormat="false" ht="15" hidden="false" customHeight="true" outlineLevel="0" collapsed="false">
      <c r="A41" s="4" t="s">
        <v>93</v>
      </c>
      <c r="B41" s="4" t="n">
        <v>1</v>
      </c>
      <c r="C41" s="4" t="s">
        <v>94</v>
      </c>
      <c r="D41" s="7" t="n">
        <v>0.9</v>
      </c>
      <c r="E41" s="4" t="s">
        <v>95</v>
      </c>
    </row>
    <row r="42" customFormat="false" ht="15" hidden="false" customHeight="true" outlineLevel="0" collapsed="false">
      <c r="A42" s="4" t="s">
        <v>96</v>
      </c>
      <c r="B42" s="4" t="n">
        <v>2</v>
      </c>
      <c r="C42" s="4" t="s">
        <v>97</v>
      </c>
      <c r="D42" s="7" t="n">
        <v>1.3</v>
      </c>
      <c r="E42" s="4" t="s">
        <v>98</v>
      </c>
    </row>
    <row r="43" customFormat="false" ht="15" hidden="false" customHeight="true" outlineLevel="0" collapsed="false">
      <c r="A43" s="4" t="s">
        <v>99</v>
      </c>
      <c r="B43" s="4" t="n">
        <v>2</v>
      </c>
      <c r="C43" s="4" t="s">
        <v>100</v>
      </c>
      <c r="D43" s="7" t="n">
        <v>0.7</v>
      </c>
      <c r="E43" s="4" t="s">
        <v>101</v>
      </c>
    </row>
    <row r="44" customFormat="false" ht="15" hidden="false" customHeight="true" outlineLevel="0" collapsed="false">
      <c r="A44" s="4" t="s">
        <v>102</v>
      </c>
      <c r="B44" s="4" t="n">
        <v>3</v>
      </c>
      <c r="C44" s="4" t="s">
        <v>103</v>
      </c>
      <c r="D44" s="7" t="n">
        <v>1.2</v>
      </c>
      <c r="E44" s="4" t="s">
        <v>104</v>
      </c>
    </row>
    <row r="45" customFormat="false" ht="15" hidden="false" customHeight="true" outlineLevel="0" collapsed="false">
      <c r="A45" s="4" t="s">
        <v>96</v>
      </c>
      <c r="B45" s="4" t="n">
        <v>3</v>
      </c>
      <c r="C45" s="4" t="s">
        <v>97</v>
      </c>
      <c r="D45" s="7" t="n">
        <v>1.3</v>
      </c>
      <c r="E45" s="4" t="s">
        <v>105</v>
      </c>
    </row>
    <row r="47" customFormat="false" ht="15" hidden="false" customHeight="true" outlineLevel="0" collapsed="false">
      <c r="A47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4"/>
    <col collapsed="false" customWidth="true" hidden="false" outlineLevel="0" max="25" min="4" style="1" width="11"/>
  </cols>
  <sheetData>
    <row r="1" customFormat="false" ht="17.25" hidden="false" customHeight="true" outlineLevel="0" collapsed="false">
      <c r="A1" s="2" t="s">
        <v>107</v>
      </c>
    </row>
    <row r="3" customFormat="false" ht="60" hidden="false" customHeight="true" outlineLevel="0" collapsed="false">
      <c r="A3" s="6" t="s">
        <v>47</v>
      </c>
      <c r="B3" s="6" t="s">
        <v>53</v>
      </c>
      <c r="C3" s="6" t="s">
        <v>57</v>
      </c>
      <c r="D3" s="6" t="s">
        <v>108</v>
      </c>
      <c r="E3" s="6" t="s">
        <v>109</v>
      </c>
      <c r="F3" s="6" t="s">
        <v>100</v>
      </c>
      <c r="G3" s="6" t="s">
        <v>97</v>
      </c>
      <c r="H3" s="6" t="s">
        <v>41</v>
      </c>
      <c r="I3" s="6" t="s">
        <v>110</v>
      </c>
      <c r="J3" s="6" t="s">
        <v>111</v>
      </c>
      <c r="K3" s="6" t="s">
        <v>112</v>
      </c>
      <c r="L3" s="6" t="s">
        <v>113</v>
      </c>
      <c r="M3" s="6" t="s">
        <v>114</v>
      </c>
      <c r="N3" s="6" t="s">
        <v>115</v>
      </c>
      <c r="O3" s="6" t="s">
        <v>116</v>
      </c>
      <c r="P3" s="6" t="s">
        <v>117</v>
      </c>
      <c r="Q3" s="6" t="s">
        <v>118</v>
      </c>
      <c r="R3" s="6" t="s">
        <v>119</v>
      </c>
      <c r="S3" s="6" t="s">
        <v>120</v>
      </c>
      <c r="T3" s="6" t="s">
        <v>121</v>
      </c>
      <c r="U3" s="6" t="s">
        <v>122</v>
      </c>
      <c r="V3" s="6" t="s">
        <v>123</v>
      </c>
      <c r="W3" s="6" t="s">
        <v>124</v>
      </c>
      <c r="X3" s="6" t="s">
        <v>125</v>
      </c>
      <c r="Y3" s="6" t="s">
        <v>126</v>
      </c>
    </row>
    <row r="4" customFormat="false" ht="15" hidden="false" customHeight="true" outlineLevel="0" collapsed="false">
      <c r="A4" s="4" t="s">
        <v>46</v>
      </c>
      <c r="B4" s="4" t="s">
        <v>52</v>
      </c>
      <c r="C4" s="4" t="s">
        <v>56</v>
      </c>
      <c r="D4" s="9" t="n">
        <f aca="false">INDEX(Inputs!$C$10:$C$18,MATCH(A4,Inputs!$A$10:$A$18,0))+INDEX(Inputs!$C$10:$C$18,MATCH(B4,Inputs!$A$10:$A$18,0))+INDEX(Inputs!$C$10:$C$18,MATCH(C4,Inputs!$A$10:$A$18,0))</f>
        <v>151</v>
      </c>
      <c r="E4" s="9" t="n">
        <f aca="false">D4*Inputs!$B$3</f>
        <v>1479.8</v>
      </c>
      <c r="F4" s="10" t="n">
        <f aca="false">INDEX(Inputs!$E$10:$E$18,MATCH(B4,Inputs!$A$10:$A$18,0))</f>
        <v>0.6</v>
      </c>
      <c r="G4" s="10" t="n">
        <f aca="false">INDEX(Inputs!$F$10:$F$18,MATCH(B4,Inputs!$A$10:$A$18,0))</f>
        <v>0.8</v>
      </c>
      <c r="H4" s="9" t="n">
        <f aca="false">INDEX(Inputs!$D$10:$D$18,MATCH(C4,Inputs!$A$10:$A$18,0))</f>
        <v>700</v>
      </c>
      <c r="I4" s="9" t="n">
        <f aca="false">INDEX(Inputs!$G$10:$G$18,MATCH(C4,Inputs!$A$10:$A$18,0))</f>
        <v>18</v>
      </c>
      <c r="J4" s="11" t="n">
        <f aca="false">(MIN(H4,Inputs!$C$22*G4*E4)-Inputs!$B$22*F4*E4)/D4</f>
        <v>4.51816158940397</v>
      </c>
      <c r="K4" s="11" t="n">
        <f aca="false">(MIN(H4,Inputs!$C$23*G4*E4)-Inputs!$B$23*F4*E4)/D4</f>
        <v>3.2144</v>
      </c>
      <c r="L4" s="11" t="n">
        <f aca="false">(MIN(H4,Inputs!$C$24*G4*E4)-Inputs!$B$24*F4*E4)/D4</f>
        <v>0.7252</v>
      </c>
      <c r="M4" s="11" t="n">
        <f aca="false">(MIN(Inputs!$B$4,Inputs!$C$22*G4*E4)+Inputs!$B$22*F4*E4)/D4</f>
        <v>6.3896</v>
      </c>
      <c r="N4" s="11" t="n">
        <f aca="false">(MIN(Inputs!$B$4,Inputs!$C$23*G4*E4)+Inputs!$B$23*F4*E4)/D4</f>
        <v>4.6256</v>
      </c>
      <c r="O4" s="11" t="n">
        <f aca="false">(MIN(Inputs!$B$4,Inputs!$C$24*G4*E4)+Inputs!$B$24*F4*E4)/D4</f>
        <v>0.8428</v>
      </c>
      <c r="P4" s="11" t="n">
        <f aca="false">Inputs!$B$22*F4*Inputs!$B$3</f>
        <v>0.1176</v>
      </c>
      <c r="Q4" s="11" t="n">
        <f aca="false">Inputs!$B$23*F4*Inputs!$B$3</f>
        <v>0.7056</v>
      </c>
      <c r="R4" s="11" t="n">
        <f aca="false">Inputs!$B$24*F4*Inputs!$B$3</f>
        <v>0.0588</v>
      </c>
      <c r="S4" s="11" t="n">
        <f aca="false">IF(J4&lt;=0,"Cannot start",IF(I4^2/(2*J4)&gt;=Inputs!$B$28,SQRT(2*Inputs!$B$28/J4),I4/J4+(Inputs!$B$28-I4^2/(2*J4))/I4))</f>
        <v>7.54751618421188</v>
      </c>
      <c r="T4" s="11" t="n">
        <f aca="false">IF(K4&lt;=0,"Cannot start",IF(I4^2/(2*K4)&gt;=Inputs!$B$29,SQRT(2*Inputs!$B$29/K4),I4/K4+(Inputs!$B$29-I4^2/(2*K4))/I4))</f>
        <v>7.52212267020629</v>
      </c>
      <c r="U4" s="4" t="str">
        <f aca="false">IF(S4&lt;T4,"Asphalt route","Sand shortcut")</f>
        <v>Sand shortcut</v>
      </c>
      <c r="V4" s="11" t="n">
        <f aca="false">SQRT(2*Inputs!$B$31/L4)</f>
        <v>8.30340276741566</v>
      </c>
      <c r="W4" s="11" t="n">
        <f aca="false">L4*Inputs!$B$31/(Inputs!$B$23*F4*Inputs!$B$3)</f>
        <v>25.6944444444445</v>
      </c>
      <c r="X4" s="4" t="str">
        <f aca="false">IF(Inputs!$B$4&lt;=(Inputs!$C$22*G4*E4),"Brakes","Grip")</f>
        <v>Grip</v>
      </c>
      <c r="Y4" s="11" t="n">
        <f aca="false">(Inputs!$B$34*(Inputs!$B$5*MIN(1,(Inputs!$C$22*G4*E4)/Inputs!$B$4))-0.5*(Inputs!$B$22*F4*E4)/D4*(Inputs!$B$5*MIN(1,(Inputs!$C$22*G4*E4)/Inputs!$B$4))^2-MIN(Inputs!$B$4,(Inputs!$C$22*G4*E4))/D4*(Inputs!$B$5*MIN(1,(Inputs!$C$22*G4*E4)/Inputs!$B$4))^2/6)+(Inputs!$B$34-(Inputs!$B$22*F4*E4)/D4*(Inputs!$B$5*MIN(1,(Inputs!$C$22*G4*E4)/Inputs!$B$4))-MIN(Inputs!$B$4,(Inputs!$C$22*G4*E4))/D4*(Inputs!$B$5*MIN(1,(Inputs!$C$22*G4*E4)/Inputs!$B$4))/2)^2/(2*(MIN(Inputs!$B$4,(Inputs!$C$22*G4*E4))+(Inputs!$B$22*F4*E4))/D4)</f>
        <v>19.9033563299877</v>
      </c>
    </row>
    <row r="5" customFormat="false" ht="15" hidden="false" customHeight="true" outlineLevel="0" collapsed="false">
      <c r="A5" s="4" t="s">
        <v>46</v>
      </c>
      <c r="B5" s="4" t="s">
        <v>52</v>
      </c>
      <c r="C5" s="4" t="s">
        <v>58</v>
      </c>
      <c r="D5" s="9" t="n">
        <f aca="false">INDEX(Inputs!$C$10:$C$18,MATCH(A5,Inputs!$A$10:$A$18,0))+INDEX(Inputs!$C$10:$C$18,MATCH(B5,Inputs!$A$10:$A$18,0))+INDEX(Inputs!$C$10:$C$18,MATCH(C5,Inputs!$A$10:$A$18,0))</f>
        <v>161</v>
      </c>
      <c r="E5" s="9" t="n">
        <f aca="false">D5*Inputs!$B$3</f>
        <v>1577.8</v>
      </c>
      <c r="F5" s="10" t="n">
        <f aca="false">INDEX(Inputs!$E$10:$E$18,MATCH(B5,Inputs!$A$10:$A$18,0))</f>
        <v>0.6</v>
      </c>
      <c r="G5" s="10" t="n">
        <f aca="false">INDEX(Inputs!$F$10:$F$18,MATCH(B5,Inputs!$A$10:$A$18,0))</f>
        <v>0.8</v>
      </c>
      <c r="H5" s="9" t="n">
        <f aca="false">INDEX(Inputs!$D$10:$D$18,MATCH(C5,Inputs!$A$10:$A$18,0))</f>
        <v>1000</v>
      </c>
      <c r="I5" s="9" t="n">
        <f aca="false">INDEX(Inputs!$G$10:$G$18,MATCH(C5,Inputs!$A$10:$A$18,0))</f>
        <v>16</v>
      </c>
      <c r="J5" s="11" t="n">
        <f aca="false">(MIN(H5,Inputs!$C$22*G5*E5)-Inputs!$B$22*F5*E5)/D5</f>
        <v>6.0935801242236</v>
      </c>
      <c r="K5" s="11" t="n">
        <f aca="false">(MIN(H5,Inputs!$C$23*G5*E5)-Inputs!$B$23*F5*E5)/D5</f>
        <v>3.2144</v>
      </c>
      <c r="L5" s="11" t="n">
        <f aca="false">(MIN(H5,Inputs!$C$24*G5*E5)-Inputs!$B$24*F5*E5)/D5</f>
        <v>0.7252</v>
      </c>
      <c r="M5" s="11" t="n">
        <f aca="false">(MIN(Inputs!$B$4,Inputs!$C$22*G5*E5)+Inputs!$B$22*F5*E5)/D5</f>
        <v>6.3896</v>
      </c>
      <c r="N5" s="11" t="n">
        <f aca="false">(MIN(Inputs!$B$4,Inputs!$C$23*G5*E5)+Inputs!$B$23*F5*E5)/D5</f>
        <v>4.6256</v>
      </c>
      <c r="O5" s="11" t="n">
        <f aca="false">(MIN(Inputs!$B$4,Inputs!$C$24*G5*E5)+Inputs!$B$24*F5*E5)/D5</f>
        <v>0.8428</v>
      </c>
      <c r="P5" s="11" t="n">
        <f aca="false">Inputs!$B$22*F5*Inputs!$B$3</f>
        <v>0.1176</v>
      </c>
      <c r="Q5" s="11" t="n">
        <f aca="false">Inputs!$B$23*F5*Inputs!$B$3</f>
        <v>0.7056</v>
      </c>
      <c r="R5" s="11" t="n">
        <f aca="false">Inputs!$B$24*F5*Inputs!$B$3</f>
        <v>0.0588</v>
      </c>
      <c r="S5" s="11" t="n">
        <f aca="false">IF(J5&lt;=0,"Cannot start",IF(I5^2/(2*J5)&gt;=Inputs!$B$28,SQRT(2*Inputs!$B$28/J5),I5/J5+(Inputs!$B$28-I5^2/(2*J5))/I5))</f>
        <v>7.56285711140449</v>
      </c>
      <c r="T5" s="11" t="n">
        <f aca="false">IF(K5&lt;=0,"Cannot start",IF(I5^2/(2*K5)&gt;=Inputs!$B$29,SQRT(2*Inputs!$B$29/K5),I5/K5+(Inputs!$B$29-I5^2/(2*K5))/I5))</f>
        <v>7.80130039820806</v>
      </c>
      <c r="U5" s="4" t="str">
        <f aca="false">IF(S5&lt;T5,"Asphalt route","Sand shortcut")</f>
        <v>Asphalt route</v>
      </c>
      <c r="V5" s="11" t="n">
        <f aca="false">SQRT(2*Inputs!$B$31/L5)</f>
        <v>8.30340276741566</v>
      </c>
      <c r="W5" s="11" t="n">
        <f aca="false">L5*Inputs!$B$31/(Inputs!$B$23*F5*Inputs!$B$3)</f>
        <v>25.6944444444445</v>
      </c>
      <c r="X5" s="4" t="str">
        <f aca="false">IF(Inputs!$B$4&lt;=(Inputs!$C$22*G5*E5),"Brakes","Grip")</f>
        <v>Grip</v>
      </c>
      <c r="Y5" s="11" t="n">
        <f aca="false">(Inputs!$B$34*(Inputs!$B$5*MIN(1,(Inputs!$C$22*G5*E5)/Inputs!$B$4))-0.5*(Inputs!$B$22*F5*E5)/D5*(Inputs!$B$5*MIN(1,(Inputs!$C$22*G5*E5)/Inputs!$B$4))^2-MIN(Inputs!$B$4,(Inputs!$C$22*G5*E5))/D5*(Inputs!$B$5*MIN(1,(Inputs!$C$22*G5*E5)/Inputs!$B$4))^2/6)+(Inputs!$B$34-(Inputs!$B$22*F5*E5)/D5*(Inputs!$B$5*MIN(1,(Inputs!$C$22*G5*E5)/Inputs!$B$4))-MIN(Inputs!$B$4,(Inputs!$C$22*G5*E5))/D5*(Inputs!$B$5*MIN(1,(Inputs!$C$22*G5*E5)/Inputs!$B$4))/2)^2/(2*(MIN(Inputs!$B$4,(Inputs!$C$22*G5*E5))+(Inputs!$B$22*F5*E5))/D5)</f>
        <v>20.0535098171008</v>
      </c>
    </row>
    <row r="6" customFormat="false" ht="15" hidden="false" customHeight="true" outlineLevel="0" collapsed="false">
      <c r="A6" s="4" t="s">
        <v>46</v>
      </c>
      <c r="B6" s="4" t="s">
        <v>52</v>
      </c>
      <c r="C6" s="4" t="s">
        <v>59</v>
      </c>
      <c r="D6" s="9" t="n">
        <f aca="false">INDEX(Inputs!$C$10:$C$18,MATCH(A6,Inputs!$A$10:$A$18,0))+INDEX(Inputs!$C$10:$C$18,MATCH(B6,Inputs!$A$10:$A$18,0))+INDEX(Inputs!$C$10:$C$18,MATCH(C6,Inputs!$A$10:$A$18,0))</f>
        <v>176</v>
      </c>
      <c r="E6" s="9" t="n">
        <f aca="false">D6*Inputs!$B$3</f>
        <v>1724.8</v>
      </c>
      <c r="F6" s="10" t="n">
        <f aca="false">INDEX(Inputs!$E$10:$E$18,MATCH(B6,Inputs!$A$10:$A$18,0))</f>
        <v>0.6</v>
      </c>
      <c r="G6" s="10" t="n">
        <f aca="false">INDEX(Inputs!$F$10:$F$18,MATCH(B6,Inputs!$A$10:$A$18,0))</f>
        <v>0.8</v>
      </c>
      <c r="H6" s="9" t="n">
        <f aca="false">INDEX(Inputs!$D$10:$D$18,MATCH(C6,Inputs!$A$10:$A$18,0))</f>
        <v>1400</v>
      </c>
      <c r="I6" s="9" t="n">
        <f aca="false">INDEX(Inputs!$G$10:$G$18,MATCH(C6,Inputs!$A$10:$A$18,0))</f>
        <v>14</v>
      </c>
      <c r="J6" s="11" t="n">
        <f aca="false">(MIN(H6,Inputs!$C$22*G6*E6)-Inputs!$B$22*F6*E6)/D6</f>
        <v>6.1544</v>
      </c>
      <c r="K6" s="11" t="n">
        <f aca="false">(MIN(H6,Inputs!$C$23*G6*E6)-Inputs!$B$23*F6*E6)/D6</f>
        <v>3.2144</v>
      </c>
      <c r="L6" s="11" t="n">
        <f aca="false">(MIN(H6,Inputs!$C$24*G6*E6)-Inputs!$B$24*F6*E6)/D6</f>
        <v>0.7252</v>
      </c>
      <c r="M6" s="11" t="n">
        <f aca="false">(MIN(Inputs!$B$4,Inputs!$C$22*G6*E6)+Inputs!$B$22*F6*E6)/D6</f>
        <v>6.3896</v>
      </c>
      <c r="N6" s="11" t="n">
        <f aca="false">(MIN(Inputs!$B$4,Inputs!$C$23*G6*E6)+Inputs!$B$23*F6*E6)/D6</f>
        <v>4.6256</v>
      </c>
      <c r="O6" s="11" t="n">
        <f aca="false">(MIN(Inputs!$B$4,Inputs!$C$24*G6*E6)+Inputs!$B$24*F6*E6)/D6</f>
        <v>0.8428</v>
      </c>
      <c r="P6" s="11" t="n">
        <f aca="false">Inputs!$B$22*F6*Inputs!$B$3</f>
        <v>0.1176</v>
      </c>
      <c r="Q6" s="11" t="n">
        <f aca="false">Inputs!$B$23*F6*Inputs!$B$3</f>
        <v>0.7056</v>
      </c>
      <c r="R6" s="11" t="n">
        <f aca="false">Inputs!$B$24*F6*Inputs!$B$3</f>
        <v>0.0588</v>
      </c>
      <c r="S6" s="11" t="n">
        <f aca="false">IF(J6&lt;=0,"Cannot start",IF(I6^2/(2*J6)&gt;=Inputs!$B$28,SQRT(2*Inputs!$B$28/J6),I6/J6+(Inputs!$B$28-I6^2/(2*J6))/I6))</f>
        <v>8.28025477707006</v>
      </c>
      <c r="T6" s="11" t="n">
        <f aca="false">IF(K6&lt;=0,"Cannot start",IF(I6^2/(2*K6)&gt;=Inputs!$B$29,SQRT(2*Inputs!$B$29/K6),I6/K6+(Inputs!$B$29-I6^2/(2*K6))/I6))</f>
        <v>8.24912891986063</v>
      </c>
      <c r="U6" s="4" t="str">
        <f aca="false">IF(S6&lt;T6,"Asphalt route","Sand shortcut")</f>
        <v>Sand shortcut</v>
      </c>
      <c r="V6" s="11" t="n">
        <f aca="false">SQRT(2*Inputs!$B$31/L6)</f>
        <v>8.30340276741566</v>
      </c>
      <c r="W6" s="11" t="n">
        <f aca="false">L6*Inputs!$B$31/(Inputs!$B$23*F6*Inputs!$B$3)</f>
        <v>25.6944444444445</v>
      </c>
      <c r="X6" s="4" t="str">
        <f aca="false">IF(Inputs!$B$4&lt;=(Inputs!$C$22*G6*E6),"Brakes","Grip")</f>
        <v>Grip</v>
      </c>
      <c r="Y6" s="11" t="n">
        <f aca="false">(Inputs!$B$34*(Inputs!$B$5*MIN(1,(Inputs!$C$22*G6*E6)/Inputs!$B$4))-0.5*(Inputs!$B$22*F6*E6)/D6*(Inputs!$B$5*MIN(1,(Inputs!$C$22*G6*E6)/Inputs!$B$4))^2-MIN(Inputs!$B$4,(Inputs!$C$22*G6*E6))/D6*(Inputs!$B$5*MIN(1,(Inputs!$C$22*G6*E6)/Inputs!$B$4))^2/6)+(Inputs!$B$34-(Inputs!$B$22*F6*E6)/D6*(Inputs!$B$5*MIN(1,(Inputs!$C$22*G6*E6)/Inputs!$B$4))-MIN(Inputs!$B$4,(Inputs!$C$22*G6*E6))/D6*(Inputs!$B$5*MIN(1,(Inputs!$C$22*G6*E6)/Inputs!$B$4))/2)^2/(2*(MIN(Inputs!$B$4,(Inputs!$C$22*G6*E6))+(Inputs!$B$22*F6*E6))/D6)</f>
        <v>20.2782880497757</v>
      </c>
    </row>
    <row r="7" customFormat="false" ht="15" hidden="false" customHeight="true" outlineLevel="0" collapsed="false">
      <c r="A7" s="4" t="s">
        <v>46</v>
      </c>
      <c r="B7" s="4" t="s">
        <v>54</v>
      </c>
      <c r="C7" s="4" t="s">
        <v>56</v>
      </c>
      <c r="D7" s="9" t="n">
        <f aca="false">INDEX(Inputs!$C$10:$C$18,MATCH(A7,Inputs!$A$10:$A$18,0))+INDEX(Inputs!$C$10:$C$18,MATCH(B7,Inputs!$A$10:$A$18,0))+INDEX(Inputs!$C$10:$C$18,MATCH(C7,Inputs!$A$10:$A$18,0))</f>
        <v>159</v>
      </c>
      <c r="E7" s="9" t="n">
        <f aca="false">D7*Inputs!$B$3</f>
        <v>1558.2</v>
      </c>
      <c r="F7" s="10" t="n">
        <f aca="false">INDEX(Inputs!$E$10:$E$18,MATCH(B7,Inputs!$A$10:$A$18,0))</f>
        <v>1</v>
      </c>
      <c r="G7" s="10" t="n">
        <f aca="false">INDEX(Inputs!$F$10:$F$18,MATCH(B7,Inputs!$A$10:$A$18,0))</f>
        <v>1</v>
      </c>
      <c r="H7" s="9" t="n">
        <f aca="false">INDEX(Inputs!$D$10:$D$18,MATCH(C7,Inputs!$A$10:$A$18,0))</f>
        <v>700</v>
      </c>
      <c r="I7" s="9" t="n">
        <f aca="false">INDEX(Inputs!$G$10:$G$18,MATCH(C7,Inputs!$A$10:$A$18,0))</f>
        <v>18</v>
      </c>
      <c r="J7" s="11" t="n">
        <f aca="false">(MIN(H7,Inputs!$C$22*G7*E7)-Inputs!$B$22*F7*E7)/D7</f>
        <v>4.20651572327044</v>
      </c>
      <c r="K7" s="11" t="n">
        <f aca="false">(MIN(H7,Inputs!$C$23*G7*E7)-Inputs!$B$23*F7*E7)/D7</f>
        <v>3.22651572327044</v>
      </c>
      <c r="L7" s="11" t="n">
        <f aca="false">(MIN(H7,Inputs!$C$24*G7*E7)-Inputs!$B$24*F7*E7)/D7</f>
        <v>0.882</v>
      </c>
      <c r="M7" s="11" t="n">
        <f aca="false">(MIN(Inputs!$B$4,Inputs!$C$22*G7*E7)+Inputs!$B$22*F7*E7)/D7</f>
        <v>8.036</v>
      </c>
      <c r="N7" s="11" t="n">
        <f aca="false">(MIN(Inputs!$B$4,Inputs!$C$23*G7*E7)+Inputs!$B$23*F7*E7)/D7</f>
        <v>6.076</v>
      </c>
      <c r="O7" s="11" t="n">
        <f aca="false">(MIN(Inputs!$B$4,Inputs!$C$24*G7*E7)+Inputs!$B$24*F7*E7)/D7</f>
        <v>1.078</v>
      </c>
      <c r="P7" s="11" t="n">
        <f aca="false">Inputs!$B$22*F7*Inputs!$B$3</f>
        <v>0.196</v>
      </c>
      <c r="Q7" s="11" t="n">
        <f aca="false">Inputs!$B$23*F7*Inputs!$B$3</f>
        <v>1.176</v>
      </c>
      <c r="R7" s="11" t="n">
        <f aca="false">Inputs!$B$24*F7*Inputs!$B$3</f>
        <v>0.098</v>
      </c>
      <c r="S7" s="11" t="n">
        <f aca="false">IF(J7&lt;=0,"Cannot start",IF(I7^2/(2*J7)&gt;=Inputs!$B$28,SQRT(2*Inputs!$B$28/J7),I7/J7+(Inputs!$B$28-I7^2/(2*J7))/I7))</f>
        <v>7.6950934990873</v>
      </c>
      <c r="T7" s="11" t="n">
        <f aca="false">IF(K7&lt;=0,"Cannot start",IF(I7^2/(2*K7)&gt;=Inputs!$B$29,SQRT(2*Inputs!$B$29/K7),I7/K7+(Inputs!$B$29-I7^2/(2*K7))/I7))</f>
        <v>7.5116089080176</v>
      </c>
      <c r="U7" s="4" t="str">
        <f aca="false">IF(S7&lt;T7,"Asphalt route","Sand shortcut")</f>
        <v>Sand shortcut</v>
      </c>
      <c r="V7" s="11" t="n">
        <f aca="false">SQRT(2*Inputs!$B$31/L7)</f>
        <v>7.52923252421043</v>
      </c>
      <c r="W7" s="11" t="n">
        <f aca="false">L7*Inputs!$B$31/(Inputs!$B$23*F7*Inputs!$B$3)</f>
        <v>18.75</v>
      </c>
      <c r="X7" s="4" t="str">
        <f aca="false">IF(Inputs!$B$4&lt;=(Inputs!$C$22*G7*E7),"Brakes","Grip")</f>
        <v>Grip</v>
      </c>
      <c r="Y7" s="11" t="n">
        <f aca="false">(Inputs!$B$34*(Inputs!$B$5*MIN(1,(Inputs!$C$22*G7*E7)/Inputs!$B$4))-0.5*(Inputs!$B$22*F7*E7)/D7*(Inputs!$B$5*MIN(1,(Inputs!$C$22*G7*E7)/Inputs!$B$4))^2-MIN(Inputs!$B$4,(Inputs!$C$22*G7*E7))/D7*(Inputs!$B$5*MIN(1,(Inputs!$C$22*G7*E7)/Inputs!$B$4))^2/6)+(Inputs!$B$34-(Inputs!$B$22*F7*E7)/D7*(Inputs!$B$5*MIN(1,(Inputs!$C$22*G7*E7)/Inputs!$B$4))-MIN(Inputs!$B$4,(Inputs!$C$22*G7*E7))/D7*(Inputs!$B$5*MIN(1,(Inputs!$C$22*G7*E7)/Inputs!$B$4))/2)^2/(2*(MIN(Inputs!$B$4,(Inputs!$C$22*G7*E7))+(Inputs!$B$22*F7*E7))/D7)</f>
        <v>16.9793643191753</v>
      </c>
    </row>
    <row r="8" customFormat="false" ht="15" hidden="false" customHeight="true" outlineLevel="0" collapsed="false">
      <c r="A8" s="4" t="s">
        <v>46</v>
      </c>
      <c r="B8" s="4" t="s">
        <v>54</v>
      </c>
      <c r="C8" s="4" t="s">
        <v>58</v>
      </c>
      <c r="D8" s="9" t="n">
        <f aca="false">INDEX(Inputs!$C$10:$C$18,MATCH(A8,Inputs!$A$10:$A$18,0))+INDEX(Inputs!$C$10:$C$18,MATCH(B8,Inputs!$A$10:$A$18,0))+INDEX(Inputs!$C$10:$C$18,MATCH(C8,Inputs!$A$10:$A$18,0))</f>
        <v>169</v>
      </c>
      <c r="E8" s="9" t="n">
        <f aca="false">D8*Inputs!$B$3</f>
        <v>1656.2</v>
      </c>
      <c r="F8" s="10" t="n">
        <f aca="false">INDEX(Inputs!$E$10:$E$18,MATCH(B8,Inputs!$A$10:$A$18,0))</f>
        <v>1</v>
      </c>
      <c r="G8" s="10" t="n">
        <f aca="false">INDEX(Inputs!$F$10:$F$18,MATCH(B8,Inputs!$A$10:$A$18,0))</f>
        <v>1</v>
      </c>
      <c r="H8" s="9" t="n">
        <f aca="false">INDEX(Inputs!$D$10:$D$18,MATCH(C8,Inputs!$A$10:$A$18,0))</f>
        <v>1000</v>
      </c>
      <c r="I8" s="9" t="n">
        <f aca="false">INDEX(Inputs!$G$10:$G$18,MATCH(C8,Inputs!$A$10:$A$18,0))</f>
        <v>16</v>
      </c>
      <c r="J8" s="11" t="n">
        <f aca="false">(MIN(H8,Inputs!$C$22*G8*E8)-Inputs!$B$22*F8*E8)/D8</f>
        <v>5.72115976331361</v>
      </c>
      <c r="K8" s="11" t="n">
        <f aca="false">(MIN(H8,Inputs!$C$23*G8*E8)-Inputs!$B$23*F8*E8)/D8</f>
        <v>3.724</v>
      </c>
      <c r="L8" s="11" t="n">
        <f aca="false">(MIN(H8,Inputs!$C$24*G8*E8)-Inputs!$B$24*F8*E8)/D8</f>
        <v>0.882</v>
      </c>
      <c r="M8" s="11" t="n">
        <f aca="false">(MIN(Inputs!$B$4,Inputs!$C$22*G8*E8)+Inputs!$B$22*F8*E8)/D8</f>
        <v>8.036</v>
      </c>
      <c r="N8" s="11" t="n">
        <f aca="false">(MIN(Inputs!$B$4,Inputs!$C$23*G8*E8)+Inputs!$B$23*F8*E8)/D8</f>
        <v>6.076</v>
      </c>
      <c r="O8" s="11" t="n">
        <f aca="false">(MIN(Inputs!$B$4,Inputs!$C$24*G8*E8)+Inputs!$B$24*F8*E8)/D8</f>
        <v>1.078</v>
      </c>
      <c r="P8" s="11" t="n">
        <f aca="false">Inputs!$B$22*F8*Inputs!$B$3</f>
        <v>0.196</v>
      </c>
      <c r="Q8" s="11" t="n">
        <f aca="false">Inputs!$B$23*F8*Inputs!$B$3</f>
        <v>1.176</v>
      </c>
      <c r="R8" s="11" t="n">
        <f aca="false">Inputs!$B$24*F8*Inputs!$B$3</f>
        <v>0.098</v>
      </c>
      <c r="S8" s="11" t="n">
        <f aca="false">IF(J8&lt;=0,"Cannot start",IF(I8^2/(2*J8)&gt;=Inputs!$B$28,SQRT(2*Inputs!$B$28/J8),I8/J8+(Inputs!$B$28-I8^2/(2*J8))/I8))</f>
        <v>7.64831788150704</v>
      </c>
      <c r="T8" s="11" t="n">
        <f aca="false">IF(K8&lt;=0,"Cannot start",IF(I8^2/(2*K8)&gt;=Inputs!$B$29,SQRT(2*Inputs!$B$29/K8),I8/K8+(Inputs!$B$29-I8^2/(2*K8))/I8))</f>
        <v>7.46072771213749</v>
      </c>
      <c r="U8" s="4" t="str">
        <f aca="false">IF(S8&lt;T8,"Asphalt route","Sand shortcut")</f>
        <v>Sand shortcut</v>
      </c>
      <c r="V8" s="11" t="n">
        <f aca="false">SQRT(2*Inputs!$B$31/L8)</f>
        <v>7.52923252421043</v>
      </c>
      <c r="W8" s="11" t="n">
        <f aca="false">L8*Inputs!$B$31/(Inputs!$B$23*F8*Inputs!$B$3)</f>
        <v>18.75</v>
      </c>
      <c r="X8" s="4" t="str">
        <f aca="false">IF(Inputs!$B$4&lt;=(Inputs!$C$22*G8*E8),"Brakes","Grip")</f>
        <v>Grip</v>
      </c>
      <c r="Y8" s="11" t="n">
        <f aca="false">(Inputs!$B$34*(Inputs!$B$5*MIN(1,(Inputs!$C$22*G8*E8)/Inputs!$B$4))-0.5*(Inputs!$B$22*F8*E8)/D8*(Inputs!$B$5*MIN(1,(Inputs!$C$22*G8*E8)/Inputs!$B$4))^2-MIN(Inputs!$B$4,(Inputs!$C$22*G8*E8))/D8*(Inputs!$B$5*MIN(1,(Inputs!$C$22*G8*E8)/Inputs!$B$4))^2/6)+(Inputs!$B$34-(Inputs!$B$22*F8*E8)/D8*(Inputs!$B$5*MIN(1,(Inputs!$C$22*G8*E8)/Inputs!$B$4))-MIN(Inputs!$B$4,(Inputs!$C$22*G8*E8))/D8*(Inputs!$B$5*MIN(1,(Inputs!$C$22*G8*E8)/Inputs!$B$4))/2)^2/(2*(MIN(Inputs!$B$4,(Inputs!$C$22*G8*E8))+(Inputs!$B$22*F8*E8))/D8)</f>
        <v>17.1627308041941</v>
      </c>
    </row>
    <row r="9" customFormat="false" ht="15" hidden="false" customHeight="true" outlineLevel="0" collapsed="false">
      <c r="A9" s="4" t="s">
        <v>46</v>
      </c>
      <c r="B9" s="4" t="s">
        <v>54</v>
      </c>
      <c r="C9" s="4" t="s">
        <v>59</v>
      </c>
      <c r="D9" s="9" t="n">
        <f aca="false">INDEX(Inputs!$C$10:$C$18,MATCH(A9,Inputs!$A$10:$A$18,0))+INDEX(Inputs!$C$10:$C$18,MATCH(B9,Inputs!$A$10:$A$18,0))+INDEX(Inputs!$C$10:$C$18,MATCH(C9,Inputs!$A$10:$A$18,0))</f>
        <v>184</v>
      </c>
      <c r="E9" s="9" t="n">
        <f aca="false">D9*Inputs!$B$3</f>
        <v>1803.2</v>
      </c>
      <c r="F9" s="10" t="n">
        <f aca="false">INDEX(Inputs!$E$10:$E$18,MATCH(B9,Inputs!$A$10:$A$18,0))</f>
        <v>1</v>
      </c>
      <c r="G9" s="10" t="n">
        <f aca="false">INDEX(Inputs!$F$10:$F$18,MATCH(B9,Inputs!$A$10:$A$18,0))</f>
        <v>1</v>
      </c>
      <c r="H9" s="9" t="n">
        <f aca="false">INDEX(Inputs!$D$10:$D$18,MATCH(C9,Inputs!$A$10:$A$18,0))</f>
        <v>1400</v>
      </c>
      <c r="I9" s="9" t="n">
        <f aca="false">INDEX(Inputs!$G$10:$G$18,MATCH(C9,Inputs!$A$10:$A$18,0))</f>
        <v>14</v>
      </c>
      <c r="J9" s="11" t="n">
        <f aca="false">(MIN(H9,Inputs!$C$22*G9*E9)-Inputs!$B$22*F9*E9)/D9</f>
        <v>7.41269565217391</v>
      </c>
      <c r="K9" s="11" t="n">
        <f aca="false">(MIN(H9,Inputs!$C$23*G9*E9)-Inputs!$B$23*F9*E9)/D9</f>
        <v>3.724</v>
      </c>
      <c r="L9" s="11" t="n">
        <f aca="false">(MIN(H9,Inputs!$C$24*G9*E9)-Inputs!$B$24*F9*E9)/D9</f>
        <v>0.882</v>
      </c>
      <c r="M9" s="11" t="n">
        <f aca="false">(MIN(Inputs!$B$4,Inputs!$C$22*G9*E9)+Inputs!$B$22*F9*E9)/D9</f>
        <v>8.036</v>
      </c>
      <c r="N9" s="11" t="n">
        <f aca="false">(MIN(Inputs!$B$4,Inputs!$C$23*G9*E9)+Inputs!$B$23*F9*E9)/D9</f>
        <v>6.076</v>
      </c>
      <c r="O9" s="11" t="n">
        <f aca="false">(MIN(Inputs!$B$4,Inputs!$C$24*G9*E9)+Inputs!$B$24*F9*E9)/D9</f>
        <v>1.078</v>
      </c>
      <c r="P9" s="11" t="n">
        <f aca="false">Inputs!$B$22*F9*Inputs!$B$3</f>
        <v>0.196</v>
      </c>
      <c r="Q9" s="11" t="n">
        <f aca="false">Inputs!$B$23*F9*Inputs!$B$3</f>
        <v>1.176</v>
      </c>
      <c r="R9" s="11" t="n">
        <f aca="false">Inputs!$B$24*F9*Inputs!$B$3</f>
        <v>0.098</v>
      </c>
      <c r="S9" s="11" t="n">
        <f aca="false">IF(J9&lt;=0,"Cannot start",IF(I9^2/(2*J9)&gt;=Inputs!$B$28,SQRT(2*Inputs!$B$28/J9),I9/J9+(Inputs!$B$28-I9^2/(2*J9))/I9))</f>
        <v>8.08718297632734</v>
      </c>
      <c r="T9" s="11" t="n">
        <f aca="false">IF(K9&lt;=0,"Cannot start",IF(I9^2/(2*K9)&gt;=Inputs!$B$29,SQRT(2*Inputs!$B$29/K9),I9/K9+(Inputs!$B$29-I9^2/(2*K9))/I9))</f>
        <v>7.95112781954887</v>
      </c>
      <c r="U9" s="4" t="str">
        <f aca="false">IF(S9&lt;T9,"Asphalt route","Sand shortcut")</f>
        <v>Sand shortcut</v>
      </c>
      <c r="V9" s="11" t="n">
        <f aca="false">SQRT(2*Inputs!$B$31/L9)</f>
        <v>7.52923252421043</v>
      </c>
      <c r="W9" s="11" t="n">
        <f aca="false">L9*Inputs!$B$31/(Inputs!$B$23*F9*Inputs!$B$3)</f>
        <v>18.75</v>
      </c>
      <c r="X9" s="4" t="str">
        <f aca="false">IF(Inputs!$B$4&lt;=(Inputs!$C$22*G9*E9),"Brakes","Grip")</f>
        <v>Grip</v>
      </c>
      <c r="Y9" s="11" t="n">
        <f aca="false">(Inputs!$B$34*(Inputs!$B$5*MIN(1,(Inputs!$C$22*G9*E9)/Inputs!$B$4))-0.5*(Inputs!$B$22*F9*E9)/D9*(Inputs!$B$5*MIN(1,(Inputs!$C$22*G9*E9)/Inputs!$B$4))^2-MIN(Inputs!$B$4,(Inputs!$C$22*G9*E9))/D9*(Inputs!$B$5*MIN(1,(Inputs!$C$22*G9*E9)/Inputs!$B$4))^2/6)+(Inputs!$B$34-(Inputs!$B$22*F9*E9)/D9*(Inputs!$B$5*MIN(1,(Inputs!$C$22*G9*E9)/Inputs!$B$4))-MIN(Inputs!$B$4,(Inputs!$C$22*G9*E9))/D9*(Inputs!$B$5*MIN(1,(Inputs!$C$22*G9*E9)/Inputs!$B$4))/2)^2/(2*(MIN(Inputs!$B$4,(Inputs!$C$22*G9*E9))+(Inputs!$B$22*F9*E9))/D9)</f>
        <v>17.4368827008714</v>
      </c>
    </row>
    <row r="10" customFormat="false" ht="15" hidden="false" customHeight="true" outlineLevel="0" collapsed="false">
      <c r="A10" s="4" t="s">
        <v>46</v>
      </c>
      <c r="B10" s="4" t="s">
        <v>55</v>
      </c>
      <c r="C10" s="4" t="s">
        <v>56</v>
      </c>
      <c r="D10" s="9" t="n">
        <f aca="false">INDEX(Inputs!$C$10:$C$18,MATCH(A10,Inputs!$A$10:$A$18,0))+INDEX(Inputs!$C$10:$C$18,MATCH(B10,Inputs!$A$10:$A$18,0))+INDEX(Inputs!$C$10:$C$18,MATCH(C10,Inputs!$A$10:$A$18,0))</f>
        <v>167</v>
      </c>
      <c r="E10" s="9" t="n">
        <f aca="false">D10*Inputs!$B$3</f>
        <v>1636.6</v>
      </c>
      <c r="F10" s="10" t="n">
        <f aca="false">INDEX(Inputs!$E$10:$E$18,MATCH(B10,Inputs!$A$10:$A$18,0))</f>
        <v>1.6</v>
      </c>
      <c r="G10" s="10" t="n">
        <f aca="false">INDEX(Inputs!$F$10:$F$18,MATCH(B10,Inputs!$A$10:$A$18,0))</f>
        <v>1.4</v>
      </c>
      <c r="H10" s="9" t="n">
        <f aca="false">INDEX(Inputs!$D$10:$D$18,MATCH(C10,Inputs!$A$10:$A$18,0))</f>
        <v>700</v>
      </c>
      <c r="I10" s="9" t="n">
        <f aca="false">INDEX(Inputs!$G$10:$G$18,MATCH(C10,Inputs!$A$10:$A$18,0))</f>
        <v>18</v>
      </c>
      <c r="J10" s="11" t="n">
        <f aca="false">(MIN(H10,Inputs!$C$22*G10*E10)-Inputs!$B$22*F10*E10)/D10</f>
        <v>3.87801676646707</v>
      </c>
      <c r="K10" s="11" t="n">
        <f aca="false">(MIN(H10,Inputs!$C$23*G10*E10)-Inputs!$B$23*F10*E10)/D10</f>
        <v>2.31001676646707</v>
      </c>
      <c r="L10" s="11" t="n">
        <f aca="false">(MIN(H10,Inputs!$C$24*G10*E10)-Inputs!$B$24*F10*E10)/D10</f>
        <v>1.2152</v>
      </c>
      <c r="M10" s="11" t="n">
        <f aca="false">(MIN(Inputs!$B$4,Inputs!$C$22*G10*E10)+Inputs!$B$22*F10*E10)/D10</f>
        <v>9.29563592814371</v>
      </c>
      <c r="N10" s="11" t="n">
        <f aca="false">(MIN(Inputs!$B$4,Inputs!$C$23*G10*E10)+Inputs!$B$23*F10*E10)/D10</f>
        <v>8.7416</v>
      </c>
      <c r="O10" s="11" t="n">
        <f aca="false">(MIN(Inputs!$B$4,Inputs!$C$24*G10*E10)+Inputs!$B$24*F10*E10)/D10</f>
        <v>1.5288</v>
      </c>
      <c r="P10" s="11" t="n">
        <f aca="false">Inputs!$B$22*F10*Inputs!$B$3</f>
        <v>0.3136</v>
      </c>
      <c r="Q10" s="11" t="n">
        <f aca="false">Inputs!$B$23*F10*Inputs!$B$3</f>
        <v>1.8816</v>
      </c>
      <c r="R10" s="11" t="n">
        <f aca="false">Inputs!$B$24*F10*Inputs!$B$3</f>
        <v>0.1568</v>
      </c>
      <c r="S10" s="11" t="n">
        <f aca="false">IF(J10&lt;=0,"Cannot start",IF(I10^2/(2*J10)&gt;=Inputs!$B$28,SQRT(2*Inputs!$B$28/J10),I10/J10+(Inputs!$B$28-I10^2/(2*J10))/I10))</f>
        <v>7.87632943096073</v>
      </c>
      <c r="T10" s="11" t="n">
        <f aca="false">IF(K10&lt;=0,"Cannot start",IF(I10^2/(2*K10)&gt;=Inputs!$B$29,SQRT(2*Inputs!$B$29/K10),I10/K10+(Inputs!$B$29-I10^2/(2*K10))/I10))</f>
        <v>8.6182978397878</v>
      </c>
      <c r="U10" s="4" t="str">
        <f aca="false">IF(S10&lt;T10,"Asphalt route","Sand shortcut")</f>
        <v>Asphalt route</v>
      </c>
      <c r="V10" s="11" t="n">
        <f aca="false">SQRT(2*Inputs!$B$31/L10)</f>
        <v>6.41447507238482</v>
      </c>
      <c r="W10" s="11" t="n">
        <f aca="false">L10*Inputs!$B$31/(Inputs!$B$23*F10*Inputs!$B$3)</f>
        <v>16.1458333333333</v>
      </c>
      <c r="X10" s="4" t="str">
        <f aca="false">IF(Inputs!$B$4&lt;=(Inputs!$C$22*G10*E10),"Brakes","Grip")</f>
        <v>Brakes</v>
      </c>
      <c r="Y10" s="11" t="n">
        <f aca="false">(Inputs!$B$34*(Inputs!$B$5*MIN(1,(Inputs!$C$22*G10*E10)/Inputs!$B$4))-0.5*(Inputs!$B$22*F10*E10)/D10*(Inputs!$B$5*MIN(1,(Inputs!$C$22*G10*E10)/Inputs!$B$4))^2-MIN(Inputs!$B$4,(Inputs!$C$22*G10*E10))/D10*(Inputs!$B$5*MIN(1,(Inputs!$C$22*G10*E10)/Inputs!$B$4))^2/6)+(Inputs!$B$34-(Inputs!$B$22*F10*E10)/D10*(Inputs!$B$5*MIN(1,(Inputs!$C$22*G10*E10)/Inputs!$B$4))-MIN(Inputs!$B$4,(Inputs!$C$22*G10*E10))/D10*(Inputs!$B$5*MIN(1,(Inputs!$C$22*G10*E10)/Inputs!$B$4))/2)^2/(2*(MIN(Inputs!$B$4,(Inputs!$C$22*G10*E10))+(Inputs!$B$22*F10*E10))/D10)</f>
        <v>15.6229100930388</v>
      </c>
    </row>
    <row r="11" customFormat="false" ht="15" hidden="false" customHeight="true" outlineLevel="0" collapsed="false">
      <c r="A11" s="4" t="s">
        <v>46</v>
      </c>
      <c r="B11" s="4" t="s">
        <v>55</v>
      </c>
      <c r="C11" s="4" t="s">
        <v>58</v>
      </c>
      <c r="D11" s="9" t="n">
        <f aca="false">INDEX(Inputs!$C$10:$C$18,MATCH(A11,Inputs!$A$10:$A$18,0))+INDEX(Inputs!$C$10:$C$18,MATCH(B11,Inputs!$A$10:$A$18,0))+INDEX(Inputs!$C$10:$C$18,MATCH(C11,Inputs!$A$10:$A$18,0))</f>
        <v>177</v>
      </c>
      <c r="E11" s="9" t="n">
        <f aca="false">D11*Inputs!$B$3</f>
        <v>1734.6</v>
      </c>
      <c r="F11" s="10" t="n">
        <f aca="false">INDEX(Inputs!$E$10:$E$18,MATCH(B11,Inputs!$A$10:$A$18,0))</f>
        <v>1.6</v>
      </c>
      <c r="G11" s="10" t="n">
        <f aca="false">INDEX(Inputs!$F$10:$F$18,MATCH(B11,Inputs!$A$10:$A$18,0))</f>
        <v>1.4</v>
      </c>
      <c r="H11" s="9" t="n">
        <f aca="false">INDEX(Inputs!$D$10:$D$18,MATCH(C11,Inputs!$A$10:$A$18,0))</f>
        <v>1000</v>
      </c>
      <c r="I11" s="9" t="n">
        <f aca="false">INDEX(Inputs!$G$10:$G$18,MATCH(C11,Inputs!$A$10:$A$18,0))</f>
        <v>16</v>
      </c>
      <c r="J11" s="11" t="n">
        <f aca="false">(MIN(H11,Inputs!$C$22*G11*E11)-Inputs!$B$22*F11*E11)/D11</f>
        <v>5.33611751412429</v>
      </c>
      <c r="K11" s="11" t="n">
        <f aca="false">(MIN(H11,Inputs!$C$23*G11*E11)-Inputs!$B$23*F11*E11)/D11</f>
        <v>3.76811751412429</v>
      </c>
      <c r="L11" s="11" t="n">
        <f aca="false">(MIN(H11,Inputs!$C$24*G11*E11)-Inputs!$B$24*F11*E11)/D11</f>
        <v>1.2152</v>
      </c>
      <c r="M11" s="11" t="n">
        <f aca="false">(MIN(Inputs!$B$4,Inputs!$C$22*G11*E11)+Inputs!$B$22*F11*E11)/D11</f>
        <v>8.78817627118644</v>
      </c>
      <c r="N11" s="11" t="n">
        <f aca="false">(MIN(Inputs!$B$4,Inputs!$C$23*G11*E11)+Inputs!$B$23*F11*E11)/D11</f>
        <v>8.7416</v>
      </c>
      <c r="O11" s="11" t="n">
        <f aca="false">(MIN(Inputs!$B$4,Inputs!$C$24*G11*E11)+Inputs!$B$24*F11*E11)/D11</f>
        <v>1.5288</v>
      </c>
      <c r="P11" s="11" t="n">
        <f aca="false">Inputs!$B$22*F11*Inputs!$B$3</f>
        <v>0.3136</v>
      </c>
      <c r="Q11" s="11" t="n">
        <f aca="false">Inputs!$B$23*F11*Inputs!$B$3</f>
        <v>1.8816</v>
      </c>
      <c r="R11" s="11" t="n">
        <f aca="false">Inputs!$B$24*F11*Inputs!$B$3</f>
        <v>0.1568</v>
      </c>
      <c r="S11" s="11" t="n">
        <f aca="false">IF(J11&lt;=0,"Cannot start",IF(I11^2/(2*J11)&gt;=Inputs!$B$28,SQRT(2*Inputs!$B$28/J11),I11/J11+(Inputs!$B$28-I11^2/(2*J11))/I11))</f>
        <v>7.74921735771834</v>
      </c>
      <c r="T11" s="11" t="n">
        <f aca="false">IF(K11&lt;=0,"Cannot start",IF(I11^2/(2*K11)&gt;=Inputs!$B$29,SQRT(2*Inputs!$B$29/K11),I11/K11+(Inputs!$B$29-I11^2/(2*K11))/I11))</f>
        <v>7.43557603730856</v>
      </c>
      <c r="U11" s="4" t="str">
        <f aca="false">IF(S11&lt;T11,"Asphalt route","Sand shortcut")</f>
        <v>Sand shortcut</v>
      </c>
      <c r="V11" s="11" t="n">
        <f aca="false">SQRT(2*Inputs!$B$31/L11)</f>
        <v>6.41447507238482</v>
      </c>
      <c r="W11" s="11" t="n">
        <f aca="false">L11*Inputs!$B$31/(Inputs!$B$23*F11*Inputs!$B$3)</f>
        <v>16.1458333333333</v>
      </c>
      <c r="X11" s="4" t="str">
        <f aca="false">IF(Inputs!$B$4&lt;=(Inputs!$C$22*G11*E11),"Brakes","Grip")</f>
        <v>Brakes</v>
      </c>
      <c r="Y11" s="11" t="n">
        <f aca="false">(Inputs!$B$34*(Inputs!$B$5*MIN(1,(Inputs!$C$22*G11*E11)/Inputs!$B$4))-0.5*(Inputs!$B$22*F11*E11)/D11*(Inputs!$B$5*MIN(1,(Inputs!$C$22*G11*E11)/Inputs!$B$4))^2-MIN(Inputs!$B$4,(Inputs!$C$22*G11*E11))/D11*(Inputs!$B$5*MIN(1,(Inputs!$C$22*G11*E11)/Inputs!$B$4))^2/6)+(Inputs!$B$34-(Inputs!$B$22*F11*E11)/D11*(Inputs!$B$5*MIN(1,(Inputs!$C$22*G11*E11)/Inputs!$B$4))-MIN(Inputs!$B$4,(Inputs!$C$22*G11*E11))/D11*(Inputs!$B$5*MIN(1,(Inputs!$C$22*G11*E11)/Inputs!$B$4))/2)^2/(2*(MIN(Inputs!$B$4,(Inputs!$C$22*G11*E11))+(Inputs!$B$22*F11*E11))/D11)</f>
        <v>16.3197475047127</v>
      </c>
    </row>
    <row r="12" customFormat="false" ht="15" hidden="false" customHeight="true" outlineLevel="0" collapsed="false">
      <c r="A12" s="4" t="s">
        <v>46</v>
      </c>
      <c r="B12" s="4" t="s">
        <v>55</v>
      </c>
      <c r="C12" s="4" t="s">
        <v>59</v>
      </c>
      <c r="D12" s="9" t="n">
        <f aca="false">INDEX(Inputs!$C$10:$C$18,MATCH(A12,Inputs!$A$10:$A$18,0))+INDEX(Inputs!$C$10:$C$18,MATCH(B12,Inputs!$A$10:$A$18,0))+INDEX(Inputs!$C$10:$C$18,MATCH(C12,Inputs!$A$10:$A$18,0))</f>
        <v>192</v>
      </c>
      <c r="E12" s="9" t="n">
        <f aca="false">D12*Inputs!$B$3</f>
        <v>1881.6</v>
      </c>
      <c r="F12" s="10" t="n">
        <f aca="false">INDEX(Inputs!$E$10:$E$18,MATCH(B12,Inputs!$A$10:$A$18,0))</f>
        <v>1.6</v>
      </c>
      <c r="G12" s="10" t="n">
        <f aca="false">INDEX(Inputs!$F$10:$F$18,MATCH(B12,Inputs!$A$10:$A$18,0))</f>
        <v>1.4</v>
      </c>
      <c r="H12" s="9" t="n">
        <f aca="false">INDEX(Inputs!$D$10:$D$18,MATCH(C12,Inputs!$A$10:$A$18,0))</f>
        <v>1400</v>
      </c>
      <c r="I12" s="9" t="n">
        <f aca="false">INDEX(Inputs!$G$10:$G$18,MATCH(C12,Inputs!$A$10:$A$18,0))</f>
        <v>14</v>
      </c>
      <c r="J12" s="11" t="n">
        <f aca="false">(MIN(H12,Inputs!$C$22*G12*E12)-Inputs!$B$22*F12*E12)/D12</f>
        <v>6.97806666666667</v>
      </c>
      <c r="K12" s="11" t="n">
        <f aca="false">(MIN(H12,Inputs!$C$23*G12*E12)-Inputs!$B$23*F12*E12)/D12</f>
        <v>4.9784</v>
      </c>
      <c r="L12" s="11" t="n">
        <f aca="false">(MIN(H12,Inputs!$C$24*G12*E12)-Inputs!$B$24*F12*E12)/D12</f>
        <v>1.2152</v>
      </c>
      <c r="M12" s="11" t="n">
        <f aca="false">(MIN(Inputs!$B$4,Inputs!$C$22*G12*E12)+Inputs!$B$22*F12*E12)/D12</f>
        <v>8.1261</v>
      </c>
      <c r="N12" s="11" t="n">
        <f aca="false">(MIN(Inputs!$B$4,Inputs!$C$23*G12*E12)+Inputs!$B$23*F12*E12)/D12</f>
        <v>8.7416</v>
      </c>
      <c r="O12" s="11" t="n">
        <f aca="false">(MIN(Inputs!$B$4,Inputs!$C$24*G12*E12)+Inputs!$B$24*F12*E12)/D12</f>
        <v>1.5288</v>
      </c>
      <c r="P12" s="11" t="n">
        <f aca="false">Inputs!$B$22*F12*Inputs!$B$3</f>
        <v>0.3136</v>
      </c>
      <c r="Q12" s="11" t="n">
        <f aca="false">Inputs!$B$23*F12*Inputs!$B$3</f>
        <v>1.8816</v>
      </c>
      <c r="R12" s="11" t="n">
        <f aca="false">Inputs!$B$24*F12*Inputs!$B$3</f>
        <v>0.1568</v>
      </c>
      <c r="S12" s="11" t="n">
        <f aca="false">IF(J12&lt;=0,"Cannot start",IF(I12^2/(2*J12)&gt;=Inputs!$B$28,SQRT(2*Inputs!$B$28/J12),I12/J12+(Inputs!$B$28-I12^2/(2*J12))/I12))</f>
        <v>8.14600032482732</v>
      </c>
      <c r="T12" s="11" t="n">
        <f aca="false">IF(K12&lt;=0,"Cannot start",IF(I12^2/(2*K12)&gt;=Inputs!$B$29,SQRT(2*Inputs!$B$29/K12),I12/K12+(Inputs!$B$29-I12^2/(2*K12))/I12))</f>
        <v>7.47750281214848</v>
      </c>
      <c r="U12" s="4" t="str">
        <f aca="false">IF(S12&lt;T12,"Asphalt route","Sand shortcut")</f>
        <v>Sand shortcut</v>
      </c>
      <c r="V12" s="11" t="n">
        <f aca="false">SQRT(2*Inputs!$B$31/L12)</f>
        <v>6.41447507238482</v>
      </c>
      <c r="W12" s="11" t="n">
        <f aca="false">L12*Inputs!$B$31/(Inputs!$B$23*F12*Inputs!$B$3)</f>
        <v>16.1458333333333</v>
      </c>
      <c r="X12" s="4" t="str">
        <f aca="false">IF(Inputs!$B$4&lt;=(Inputs!$C$22*G12*E12),"Brakes","Grip")</f>
        <v>Brakes</v>
      </c>
      <c r="Y12" s="11" t="n">
        <f aca="false">(Inputs!$B$34*(Inputs!$B$5*MIN(1,(Inputs!$C$22*G12*E12)/Inputs!$B$4))-0.5*(Inputs!$B$22*F12*E12)/D12*(Inputs!$B$5*MIN(1,(Inputs!$C$22*G12*E12)/Inputs!$B$4))^2-MIN(Inputs!$B$4,(Inputs!$C$22*G12*E12))/D12*(Inputs!$B$5*MIN(1,(Inputs!$C$22*G12*E12)/Inputs!$B$4))^2/6)+(Inputs!$B$34-(Inputs!$B$22*F12*E12)/D12*(Inputs!$B$5*MIN(1,(Inputs!$C$22*G12*E12)/Inputs!$B$4))-MIN(Inputs!$B$4,(Inputs!$C$22*G12*E12))/D12*(Inputs!$B$5*MIN(1,(Inputs!$C$22*G12*E12)/Inputs!$B$4))/2)^2/(2*(MIN(Inputs!$B$4,(Inputs!$C$22*G12*E12))+(Inputs!$B$22*F12*E12))/D12)</f>
        <v>17.358758665173</v>
      </c>
    </row>
    <row r="13" customFormat="false" ht="15" hidden="false" customHeight="true" outlineLevel="0" collapsed="false">
      <c r="A13" s="4" t="s">
        <v>49</v>
      </c>
      <c r="B13" s="4" t="s">
        <v>52</v>
      </c>
      <c r="C13" s="4" t="s">
        <v>56</v>
      </c>
      <c r="D13" s="9" t="n">
        <f aca="false">INDEX(Inputs!$C$10:$C$18,MATCH(A13,Inputs!$A$10:$A$18,0))+INDEX(Inputs!$C$10:$C$18,MATCH(B13,Inputs!$A$10:$A$18,0))+INDEX(Inputs!$C$10:$C$18,MATCH(C13,Inputs!$A$10:$A$18,0))</f>
        <v>191</v>
      </c>
      <c r="E13" s="9" t="n">
        <f aca="false">D13*Inputs!$B$3</f>
        <v>1871.8</v>
      </c>
      <c r="F13" s="10" t="n">
        <f aca="false">INDEX(Inputs!$E$10:$E$18,MATCH(B13,Inputs!$A$10:$A$18,0))</f>
        <v>0.6</v>
      </c>
      <c r="G13" s="10" t="n">
        <f aca="false">INDEX(Inputs!$F$10:$F$18,MATCH(B13,Inputs!$A$10:$A$18,0))</f>
        <v>0.8</v>
      </c>
      <c r="H13" s="9" t="n">
        <f aca="false">INDEX(Inputs!$D$10:$D$18,MATCH(C13,Inputs!$A$10:$A$18,0))</f>
        <v>700</v>
      </c>
      <c r="I13" s="9" t="n">
        <f aca="false">INDEX(Inputs!$G$10:$G$18,MATCH(C13,Inputs!$A$10:$A$18,0))</f>
        <v>18</v>
      </c>
      <c r="J13" s="11" t="n">
        <f aca="false">(MIN(H13,Inputs!$C$22*G13*E13)-Inputs!$B$22*F13*E13)/D13</f>
        <v>3.54732146596859</v>
      </c>
      <c r="K13" s="11" t="n">
        <f aca="false">(MIN(H13,Inputs!$C$23*G13*E13)-Inputs!$B$23*F13*E13)/D13</f>
        <v>2.95932146596859</v>
      </c>
      <c r="L13" s="11" t="n">
        <f aca="false">(MIN(H13,Inputs!$C$24*G13*E13)-Inputs!$B$24*F13*E13)/D13</f>
        <v>0.7252</v>
      </c>
      <c r="M13" s="11" t="n">
        <f aca="false">(MIN(Inputs!$B$4,Inputs!$C$22*G13*E13)+Inputs!$B$22*F13*E13)/D13</f>
        <v>6.3896</v>
      </c>
      <c r="N13" s="11" t="n">
        <f aca="false">(MIN(Inputs!$B$4,Inputs!$C$23*G13*E13)+Inputs!$B$23*F13*E13)/D13</f>
        <v>4.6256</v>
      </c>
      <c r="O13" s="11" t="n">
        <f aca="false">(MIN(Inputs!$B$4,Inputs!$C$24*G13*E13)+Inputs!$B$24*F13*E13)/D13</f>
        <v>0.8428</v>
      </c>
      <c r="P13" s="11" t="n">
        <f aca="false">Inputs!$B$22*F13*Inputs!$B$3</f>
        <v>0.1176</v>
      </c>
      <c r="Q13" s="11" t="n">
        <f aca="false">Inputs!$B$23*F13*Inputs!$B$3</f>
        <v>0.7056</v>
      </c>
      <c r="R13" s="11" t="n">
        <f aca="false">Inputs!$B$24*F13*Inputs!$B$3</f>
        <v>0.0588</v>
      </c>
      <c r="S13" s="11" t="n">
        <f aca="false">IF(J13&lt;=0,"Cannot start",IF(I13^2/(2*J13)&gt;=Inputs!$B$28,SQRT(2*Inputs!$B$28/J13),I13/J13+(Inputs!$B$28-I13^2/(2*J13))/I13))</f>
        <v>8.0926811265933</v>
      </c>
      <c r="T13" s="11" t="n">
        <f aca="false">IF(K13&lt;=0,"Cannot start",IF(I13^2/(2*K13)&gt;=Inputs!$B$29,SQRT(2*Inputs!$B$29/K13),I13/K13+(Inputs!$B$29-I13^2/(2*K13))/I13))</f>
        <v>7.76345991927461</v>
      </c>
      <c r="U13" s="4" t="str">
        <f aca="false">IF(S13&lt;T13,"Asphalt route","Sand shortcut")</f>
        <v>Sand shortcut</v>
      </c>
      <c r="V13" s="11" t="n">
        <f aca="false">SQRT(2*Inputs!$B$31/L13)</f>
        <v>8.30340276741566</v>
      </c>
      <c r="W13" s="11" t="n">
        <f aca="false">L13*Inputs!$B$31/(Inputs!$B$23*F13*Inputs!$B$3)</f>
        <v>25.6944444444445</v>
      </c>
      <c r="X13" s="4" t="str">
        <f aca="false">IF(Inputs!$B$4&lt;=(Inputs!$C$22*G13*E13),"Brakes","Grip")</f>
        <v>Grip</v>
      </c>
      <c r="Y13" s="11" t="n">
        <f aca="false">(Inputs!$B$34*(Inputs!$B$5*MIN(1,(Inputs!$C$22*G13*E13)/Inputs!$B$4))-0.5*(Inputs!$B$22*F13*E13)/D13*(Inputs!$B$5*MIN(1,(Inputs!$C$22*G13*E13)/Inputs!$B$4))^2-MIN(Inputs!$B$4,(Inputs!$C$22*G13*E13))/D13*(Inputs!$B$5*MIN(1,(Inputs!$C$22*G13*E13)/Inputs!$B$4))^2/6)+(Inputs!$B$34-(Inputs!$B$22*F13*E13)/D13*(Inputs!$B$5*MIN(1,(Inputs!$C$22*G13*E13)/Inputs!$B$4))-MIN(Inputs!$B$4,(Inputs!$C$22*G13*E13))/D13*(Inputs!$B$5*MIN(1,(Inputs!$C$22*G13*E13)/Inputs!$B$4))/2)^2/(2*(MIN(Inputs!$B$4,(Inputs!$C$22*G13*E13))+(Inputs!$B$22*F13*E13))/D13)</f>
        <v>20.5025238848569</v>
      </c>
    </row>
    <row r="14" customFormat="false" ht="15" hidden="false" customHeight="true" outlineLevel="0" collapsed="false">
      <c r="A14" s="4" t="s">
        <v>49</v>
      </c>
      <c r="B14" s="4" t="s">
        <v>52</v>
      </c>
      <c r="C14" s="4" t="s">
        <v>58</v>
      </c>
      <c r="D14" s="9" t="n">
        <f aca="false">INDEX(Inputs!$C$10:$C$18,MATCH(A14,Inputs!$A$10:$A$18,0))+INDEX(Inputs!$C$10:$C$18,MATCH(B14,Inputs!$A$10:$A$18,0))+INDEX(Inputs!$C$10:$C$18,MATCH(C14,Inputs!$A$10:$A$18,0))</f>
        <v>201</v>
      </c>
      <c r="E14" s="9" t="n">
        <f aca="false">D14*Inputs!$B$3</f>
        <v>1969.8</v>
      </c>
      <c r="F14" s="10" t="n">
        <f aca="false">INDEX(Inputs!$E$10:$E$18,MATCH(B14,Inputs!$A$10:$A$18,0))</f>
        <v>0.6</v>
      </c>
      <c r="G14" s="10" t="n">
        <f aca="false">INDEX(Inputs!$F$10:$F$18,MATCH(B14,Inputs!$A$10:$A$18,0))</f>
        <v>0.8</v>
      </c>
      <c r="H14" s="9" t="n">
        <f aca="false">INDEX(Inputs!$D$10:$D$18,MATCH(C14,Inputs!$A$10:$A$18,0))</f>
        <v>1000</v>
      </c>
      <c r="I14" s="9" t="n">
        <f aca="false">INDEX(Inputs!$G$10:$G$18,MATCH(C14,Inputs!$A$10:$A$18,0))</f>
        <v>16</v>
      </c>
      <c r="J14" s="11" t="n">
        <f aca="false">(MIN(H14,Inputs!$C$22*G14*E14)-Inputs!$B$22*F14*E14)/D14</f>
        <v>4.85752437810945</v>
      </c>
      <c r="K14" s="11" t="n">
        <f aca="false">(MIN(H14,Inputs!$C$23*G14*E14)-Inputs!$B$23*F14*E14)/D14</f>
        <v>3.2144</v>
      </c>
      <c r="L14" s="11" t="n">
        <f aca="false">(MIN(H14,Inputs!$C$24*G14*E14)-Inputs!$B$24*F14*E14)/D14</f>
        <v>0.7252</v>
      </c>
      <c r="M14" s="11" t="n">
        <f aca="false">(MIN(Inputs!$B$4,Inputs!$C$22*G14*E14)+Inputs!$B$22*F14*E14)/D14</f>
        <v>6.3896</v>
      </c>
      <c r="N14" s="11" t="n">
        <f aca="false">(MIN(Inputs!$B$4,Inputs!$C$23*G14*E14)+Inputs!$B$23*F14*E14)/D14</f>
        <v>4.6256</v>
      </c>
      <c r="O14" s="11" t="n">
        <f aca="false">(MIN(Inputs!$B$4,Inputs!$C$24*G14*E14)+Inputs!$B$24*F14*E14)/D14</f>
        <v>0.8428</v>
      </c>
      <c r="P14" s="11" t="n">
        <f aca="false">Inputs!$B$22*F14*Inputs!$B$3</f>
        <v>0.1176</v>
      </c>
      <c r="Q14" s="11" t="n">
        <f aca="false">Inputs!$B$23*F14*Inputs!$B$3</f>
        <v>0.7056</v>
      </c>
      <c r="R14" s="11" t="n">
        <f aca="false">Inputs!$B$24*F14*Inputs!$B$3</f>
        <v>0.0588</v>
      </c>
      <c r="S14" s="11" t="n">
        <f aca="false">IF(J14&lt;=0,"Cannot start",IF(I14^2/(2*J14)&gt;=Inputs!$B$28,SQRT(2*Inputs!$B$28/J14),I14/J14+(Inputs!$B$28-I14^2/(2*J14))/I14))</f>
        <v>7.89692945979894</v>
      </c>
      <c r="T14" s="11" t="n">
        <f aca="false">IF(K14&lt;=0,"Cannot start",IF(I14^2/(2*K14)&gt;=Inputs!$B$29,SQRT(2*Inputs!$B$29/K14),I14/K14+(Inputs!$B$29-I14^2/(2*K14))/I14))</f>
        <v>7.80130039820806</v>
      </c>
      <c r="U14" s="4" t="str">
        <f aca="false">IF(S14&lt;T14,"Asphalt route","Sand shortcut")</f>
        <v>Sand shortcut</v>
      </c>
      <c r="V14" s="11" t="n">
        <f aca="false">SQRT(2*Inputs!$B$31/L14)</f>
        <v>8.30340276741566</v>
      </c>
      <c r="W14" s="11" t="n">
        <f aca="false">L14*Inputs!$B$31/(Inputs!$B$23*F14*Inputs!$B$3)</f>
        <v>25.6944444444444</v>
      </c>
      <c r="X14" s="4" t="str">
        <f aca="false">IF(Inputs!$B$4&lt;=(Inputs!$C$22*G14*E14),"Brakes","Grip")</f>
        <v>Grip</v>
      </c>
      <c r="Y14" s="11" t="n">
        <f aca="false">(Inputs!$B$34*(Inputs!$B$5*MIN(1,(Inputs!$C$22*G14*E14)/Inputs!$B$4))-0.5*(Inputs!$B$22*F14*E14)/D14*(Inputs!$B$5*MIN(1,(Inputs!$C$22*G14*E14)/Inputs!$B$4))^2-MIN(Inputs!$B$4,(Inputs!$C$22*G14*E14))/D14*(Inputs!$B$5*MIN(1,(Inputs!$C$22*G14*E14)/Inputs!$B$4))^2/6)+(Inputs!$B$34-(Inputs!$B$22*F14*E14)/D14*(Inputs!$B$5*MIN(1,(Inputs!$C$22*G14*E14)/Inputs!$B$4))-MIN(Inputs!$B$4,(Inputs!$C$22*G14*E14))/D14*(Inputs!$B$5*MIN(1,(Inputs!$C$22*G14*E14)/Inputs!$B$4))/2)^2/(2*(MIN(Inputs!$B$4,(Inputs!$C$22*G14*E14))+(Inputs!$B$22*F14*E14))/D14)</f>
        <v>20.6517131095812</v>
      </c>
    </row>
    <row r="15" customFormat="false" ht="15" hidden="false" customHeight="true" outlineLevel="0" collapsed="false">
      <c r="A15" s="4" t="s">
        <v>49</v>
      </c>
      <c r="B15" s="4" t="s">
        <v>52</v>
      </c>
      <c r="C15" s="4" t="s">
        <v>59</v>
      </c>
      <c r="D15" s="9" t="n">
        <f aca="false">INDEX(Inputs!$C$10:$C$18,MATCH(A15,Inputs!$A$10:$A$18,0))+INDEX(Inputs!$C$10:$C$18,MATCH(B15,Inputs!$A$10:$A$18,0))+INDEX(Inputs!$C$10:$C$18,MATCH(C15,Inputs!$A$10:$A$18,0))</f>
        <v>216</v>
      </c>
      <c r="E15" s="9" t="n">
        <f aca="false">D15*Inputs!$B$3</f>
        <v>2116.8</v>
      </c>
      <c r="F15" s="10" t="n">
        <f aca="false">INDEX(Inputs!$E$10:$E$18,MATCH(B15,Inputs!$A$10:$A$18,0))</f>
        <v>0.6</v>
      </c>
      <c r="G15" s="10" t="n">
        <f aca="false">INDEX(Inputs!$F$10:$F$18,MATCH(B15,Inputs!$A$10:$A$18,0))</f>
        <v>0.8</v>
      </c>
      <c r="H15" s="9" t="n">
        <f aca="false">INDEX(Inputs!$D$10:$D$18,MATCH(C15,Inputs!$A$10:$A$18,0))</f>
        <v>1400</v>
      </c>
      <c r="I15" s="9" t="n">
        <f aca="false">INDEX(Inputs!$G$10:$G$18,MATCH(C15,Inputs!$A$10:$A$18,0))</f>
        <v>14</v>
      </c>
      <c r="J15" s="11" t="n">
        <f aca="false">(MIN(H15,Inputs!$C$22*G15*E15)-Inputs!$B$22*F15*E15)/D15</f>
        <v>6.1544</v>
      </c>
      <c r="K15" s="11" t="n">
        <f aca="false">(MIN(H15,Inputs!$C$23*G15*E15)-Inputs!$B$23*F15*E15)/D15</f>
        <v>3.2144</v>
      </c>
      <c r="L15" s="11" t="n">
        <f aca="false">(MIN(H15,Inputs!$C$24*G15*E15)-Inputs!$B$24*F15*E15)/D15</f>
        <v>0.7252</v>
      </c>
      <c r="M15" s="11" t="n">
        <f aca="false">(MIN(Inputs!$B$4,Inputs!$C$22*G15*E15)+Inputs!$B$22*F15*E15)/D15</f>
        <v>6.3896</v>
      </c>
      <c r="N15" s="11" t="n">
        <f aca="false">(MIN(Inputs!$B$4,Inputs!$C$23*G15*E15)+Inputs!$B$23*F15*E15)/D15</f>
        <v>4.6256</v>
      </c>
      <c r="O15" s="11" t="n">
        <f aca="false">(MIN(Inputs!$B$4,Inputs!$C$24*G15*E15)+Inputs!$B$24*F15*E15)/D15</f>
        <v>0.8428</v>
      </c>
      <c r="P15" s="11" t="n">
        <f aca="false">Inputs!$B$22*F15*Inputs!$B$3</f>
        <v>0.1176</v>
      </c>
      <c r="Q15" s="11" t="n">
        <f aca="false">Inputs!$B$23*F15*Inputs!$B$3</f>
        <v>0.7056</v>
      </c>
      <c r="R15" s="11" t="n">
        <f aca="false">Inputs!$B$24*F15*Inputs!$B$3</f>
        <v>0.0588</v>
      </c>
      <c r="S15" s="11" t="n">
        <f aca="false">IF(J15&lt;=0,"Cannot start",IF(I15^2/(2*J15)&gt;=Inputs!$B$28,SQRT(2*Inputs!$B$28/J15),I15/J15+(Inputs!$B$28-I15^2/(2*J15))/I15))</f>
        <v>8.28025477707006</v>
      </c>
      <c r="T15" s="11" t="n">
        <f aca="false">IF(K15&lt;=0,"Cannot start",IF(I15^2/(2*K15)&gt;=Inputs!$B$29,SQRT(2*Inputs!$B$29/K15),I15/K15+(Inputs!$B$29-I15^2/(2*K15))/I15))</f>
        <v>8.24912891986063</v>
      </c>
      <c r="U15" s="4" t="str">
        <f aca="false">IF(S15&lt;T15,"Asphalt route","Sand shortcut")</f>
        <v>Sand shortcut</v>
      </c>
      <c r="V15" s="11" t="n">
        <f aca="false">SQRT(2*Inputs!$B$31/L15)</f>
        <v>8.30340276741566</v>
      </c>
      <c r="W15" s="11" t="n">
        <f aca="false">L15*Inputs!$B$31/(Inputs!$B$23*F15*Inputs!$B$3)</f>
        <v>25.6944444444445</v>
      </c>
      <c r="X15" s="4" t="str">
        <f aca="false">IF(Inputs!$B$4&lt;=(Inputs!$C$22*G15*E15),"Brakes","Grip")</f>
        <v>Grip</v>
      </c>
      <c r="Y15" s="11" t="n">
        <f aca="false">(Inputs!$B$34*(Inputs!$B$5*MIN(1,(Inputs!$C$22*G15*E15)/Inputs!$B$4))-0.5*(Inputs!$B$22*F15*E15)/D15*(Inputs!$B$5*MIN(1,(Inputs!$C$22*G15*E15)/Inputs!$B$4))^2-MIN(Inputs!$B$4,(Inputs!$C$22*G15*E15))/D15*(Inputs!$B$5*MIN(1,(Inputs!$C$22*G15*E15)/Inputs!$B$4))^2/6)+(Inputs!$B$34-(Inputs!$B$22*F15*E15)/D15*(Inputs!$B$5*MIN(1,(Inputs!$C$22*G15*E15)/Inputs!$B$4))-MIN(Inputs!$B$4,(Inputs!$C$22*G15*E15))/D15*(Inputs!$B$5*MIN(1,(Inputs!$C$22*G15*E15)/Inputs!$B$4))/2)^2/(2*(MIN(Inputs!$B$4,(Inputs!$C$22*G15*E15))+(Inputs!$B$22*F15*E15))/D15)</f>
        <v>20.8750449486729</v>
      </c>
    </row>
    <row r="16" customFormat="false" ht="15" hidden="false" customHeight="true" outlineLevel="0" collapsed="false">
      <c r="A16" s="4" t="s">
        <v>49</v>
      </c>
      <c r="B16" s="4" t="s">
        <v>54</v>
      </c>
      <c r="C16" s="4" t="s">
        <v>56</v>
      </c>
      <c r="D16" s="9" t="n">
        <f aca="false">INDEX(Inputs!$C$10:$C$18,MATCH(A16,Inputs!$A$10:$A$18,0))+INDEX(Inputs!$C$10:$C$18,MATCH(B16,Inputs!$A$10:$A$18,0))+INDEX(Inputs!$C$10:$C$18,MATCH(C16,Inputs!$A$10:$A$18,0))</f>
        <v>199</v>
      </c>
      <c r="E16" s="9" t="n">
        <f aca="false">D16*Inputs!$B$3</f>
        <v>1950.2</v>
      </c>
      <c r="F16" s="10" t="n">
        <f aca="false">INDEX(Inputs!$E$10:$E$18,MATCH(B16,Inputs!$A$10:$A$18,0))</f>
        <v>1</v>
      </c>
      <c r="G16" s="10" t="n">
        <f aca="false">INDEX(Inputs!$F$10:$F$18,MATCH(B16,Inputs!$A$10:$A$18,0))</f>
        <v>1</v>
      </c>
      <c r="H16" s="9" t="n">
        <f aca="false">INDEX(Inputs!$D$10:$D$18,MATCH(C16,Inputs!$A$10:$A$18,0))</f>
        <v>700</v>
      </c>
      <c r="I16" s="9" t="n">
        <f aca="false">INDEX(Inputs!$G$10:$G$18,MATCH(C16,Inputs!$A$10:$A$18,0))</f>
        <v>18</v>
      </c>
      <c r="J16" s="11" t="n">
        <f aca="false">(MIN(H16,Inputs!$C$22*G16*E16)-Inputs!$B$22*F16*E16)/D16</f>
        <v>3.32158793969849</v>
      </c>
      <c r="K16" s="11" t="n">
        <f aca="false">(MIN(H16,Inputs!$C$23*G16*E16)-Inputs!$B$23*F16*E16)/D16</f>
        <v>2.34158793969849</v>
      </c>
      <c r="L16" s="11" t="n">
        <f aca="false">(MIN(H16,Inputs!$C$24*G16*E16)-Inputs!$B$24*F16*E16)/D16</f>
        <v>0.882</v>
      </c>
      <c r="M16" s="11" t="n">
        <f aca="false">(MIN(Inputs!$B$4,Inputs!$C$22*G16*E16)+Inputs!$B$22*F16*E16)/D16</f>
        <v>7.73368844221106</v>
      </c>
      <c r="N16" s="11" t="n">
        <f aca="false">(MIN(Inputs!$B$4,Inputs!$C$23*G16*E16)+Inputs!$B$23*F16*E16)/D16</f>
        <v>6.076</v>
      </c>
      <c r="O16" s="11" t="n">
        <f aca="false">(MIN(Inputs!$B$4,Inputs!$C$24*G16*E16)+Inputs!$B$24*F16*E16)/D16</f>
        <v>1.078</v>
      </c>
      <c r="P16" s="11" t="n">
        <f aca="false">Inputs!$B$22*F16*Inputs!$B$3</f>
        <v>0.196</v>
      </c>
      <c r="Q16" s="11" t="n">
        <f aca="false">Inputs!$B$23*F16*Inputs!$B$3</f>
        <v>1.176</v>
      </c>
      <c r="R16" s="11" t="n">
        <f aca="false">Inputs!$B$24*F16*Inputs!$B$3</f>
        <v>0.098</v>
      </c>
      <c r="S16" s="11" t="n">
        <f aca="false">IF(J16&lt;=0,"Cannot start",IF(I16^2/(2*J16)&gt;=Inputs!$B$28,SQRT(2*Inputs!$B$28/J16),I16/J16+(Inputs!$B$28-I16^2/(2*J16))/I16))</f>
        <v>8.26510296582733</v>
      </c>
      <c r="T16" s="11" t="n">
        <f aca="false">IF(K16&lt;=0,"Cannot start",IF(I16^2/(2*K16)&gt;=Inputs!$B$29,SQRT(2*Inputs!$B$29/K16),I16/K16+(Inputs!$B$29-I16^2/(2*K16))/I16))</f>
        <v>8.56576781255306</v>
      </c>
      <c r="U16" s="4" t="str">
        <f aca="false">IF(S16&lt;T16,"Asphalt route","Sand shortcut")</f>
        <v>Asphalt route</v>
      </c>
      <c r="V16" s="11" t="n">
        <f aca="false">SQRT(2*Inputs!$B$31/L16)</f>
        <v>7.52923252421043</v>
      </c>
      <c r="W16" s="11" t="n">
        <f aca="false">L16*Inputs!$B$31/(Inputs!$B$23*F16*Inputs!$B$3)</f>
        <v>18.75</v>
      </c>
      <c r="X16" s="4" t="str">
        <f aca="false">IF(Inputs!$B$4&lt;=(Inputs!$C$22*G16*E16),"Brakes","Grip")</f>
        <v>Brakes</v>
      </c>
      <c r="Y16" s="11" t="n">
        <f aca="false">(Inputs!$B$34*(Inputs!$B$5*MIN(1,(Inputs!$C$22*G16*E16)/Inputs!$B$4))-0.5*(Inputs!$B$22*F16*E16)/D16*(Inputs!$B$5*MIN(1,(Inputs!$C$22*G16*E16)/Inputs!$B$4))^2-MIN(Inputs!$B$4,(Inputs!$C$22*G16*E16))/D16*(Inputs!$B$5*MIN(1,(Inputs!$C$22*G16*E16)/Inputs!$B$4))^2/6)+(Inputs!$B$34-(Inputs!$B$22*F16*E16)/D16*(Inputs!$B$5*MIN(1,(Inputs!$C$22*G16*E16)/Inputs!$B$4))-MIN(Inputs!$B$4,(Inputs!$C$22*G16*E16))/D16*(Inputs!$B$5*MIN(1,(Inputs!$C$22*G16*E16)/Inputs!$B$4))/2)^2/(2*(MIN(Inputs!$B$4,(Inputs!$C$22*G16*E16))+(Inputs!$B$22*F16*E16))/D16)</f>
        <v>18.1172197200855</v>
      </c>
    </row>
    <row r="17" customFormat="false" ht="15" hidden="false" customHeight="true" outlineLevel="0" collapsed="false">
      <c r="A17" s="4" t="s">
        <v>49</v>
      </c>
      <c r="B17" s="4" t="s">
        <v>54</v>
      </c>
      <c r="C17" s="4" t="s">
        <v>58</v>
      </c>
      <c r="D17" s="9" t="n">
        <f aca="false">INDEX(Inputs!$C$10:$C$18,MATCH(A17,Inputs!$A$10:$A$18,0))+INDEX(Inputs!$C$10:$C$18,MATCH(B17,Inputs!$A$10:$A$18,0))+INDEX(Inputs!$C$10:$C$18,MATCH(C17,Inputs!$A$10:$A$18,0))</f>
        <v>209</v>
      </c>
      <c r="E17" s="9" t="n">
        <f aca="false">D17*Inputs!$B$3</f>
        <v>2048.2</v>
      </c>
      <c r="F17" s="10" t="n">
        <f aca="false">INDEX(Inputs!$E$10:$E$18,MATCH(B17,Inputs!$A$10:$A$18,0))</f>
        <v>1</v>
      </c>
      <c r="G17" s="10" t="n">
        <f aca="false">INDEX(Inputs!$F$10:$F$18,MATCH(B17,Inputs!$A$10:$A$18,0))</f>
        <v>1</v>
      </c>
      <c r="H17" s="9" t="n">
        <f aca="false">INDEX(Inputs!$D$10:$D$18,MATCH(C17,Inputs!$A$10:$A$18,0))</f>
        <v>1000</v>
      </c>
      <c r="I17" s="9" t="n">
        <f aca="false">INDEX(Inputs!$G$10:$G$18,MATCH(C17,Inputs!$A$10:$A$18,0))</f>
        <v>16</v>
      </c>
      <c r="J17" s="11" t="n">
        <f aca="false">(MIN(H17,Inputs!$C$22*G17*E17)-Inputs!$B$22*F17*E17)/D17</f>
        <v>4.58868899521531</v>
      </c>
      <c r="K17" s="11" t="n">
        <f aca="false">(MIN(H17,Inputs!$C$23*G17*E17)-Inputs!$B$23*F17*E17)/D17</f>
        <v>3.60868899521531</v>
      </c>
      <c r="L17" s="11" t="n">
        <f aca="false">(MIN(H17,Inputs!$C$24*G17*E17)-Inputs!$B$24*F17*E17)/D17</f>
        <v>0.882</v>
      </c>
      <c r="M17" s="11" t="n">
        <f aca="false">(MIN(Inputs!$B$4,Inputs!$C$22*G17*E17)+Inputs!$B$22*F17*E17)/D17</f>
        <v>7.37303349282297</v>
      </c>
      <c r="N17" s="11" t="n">
        <f aca="false">(MIN(Inputs!$B$4,Inputs!$C$23*G17*E17)+Inputs!$B$23*F17*E17)/D17</f>
        <v>6.076</v>
      </c>
      <c r="O17" s="11" t="n">
        <f aca="false">(MIN(Inputs!$B$4,Inputs!$C$24*G17*E17)+Inputs!$B$24*F17*E17)/D17</f>
        <v>1.078</v>
      </c>
      <c r="P17" s="11" t="n">
        <f aca="false">Inputs!$B$22*F17*Inputs!$B$3</f>
        <v>0.196</v>
      </c>
      <c r="Q17" s="11" t="n">
        <f aca="false">Inputs!$B$23*F17*Inputs!$B$3</f>
        <v>1.176</v>
      </c>
      <c r="R17" s="11" t="n">
        <f aca="false">Inputs!$B$24*F17*Inputs!$B$3</f>
        <v>0.098</v>
      </c>
      <c r="S17" s="11" t="n">
        <f aca="false">IF(J17&lt;=0,"Cannot start",IF(I17^2/(2*J17)&gt;=Inputs!$B$28,SQRT(2*Inputs!$B$28/J17),I17/J17+(Inputs!$B$28-I17^2/(2*J17))/I17))</f>
        <v>7.99341734825387</v>
      </c>
      <c r="T17" s="11" t="n">
        <f aca="false">IF(K17&lt;=0,"Cannot start",IF(I17^2/(2*K17)&gt;=Inputs!$B$29,SQRT(2*Inputs!$B$29/K17),I17/K17+(Inputs!$B$29-I17^2/(2*K17))/I17))</f>
        <v>7.52937155934109</v>
      </c>
      <c r="U17" s="4" t="str">
        <f aca="false">IF(S17&lt;T17,"Asphalt route","Sand shortcut")</f>
        <v>Sand shortcut</v>
      </c>
      <c r="V17" s="11" t="n">
        <f aca="false">SQRT(2*Inputs!$B$31/L17)</f>
        <v>7.52923252421043</v>
      </c>
      <c r="W17" s="11" t="n">
        <f aca="false">L17*Inputs!$B$31/(Inputs!$B$23*F17*Inputs!$B$3)</f>
        <v>18.75</v>
      </c>
      <c r="X17" s="4" t="str">
        <f aca="false">IF(Inputs!$B$4&lt;=(Inputs!$C$22*G17*E17),"Brakes","Grip")</f>
        <v>Brakes</v>
      </c>
      <c r="Y17" s="11" t="n">
        <f aca="false">(Inputs!$B$34*(Inputs!$B$5*MIN(1,(Inputs!$C$22*G17*E17)/Inputs!$B$4))-0.5*(Inputs!$B$22*F17*E17)/D17*(Inputs!$B$5*MIN(1,(Inputs!$C$22*G17*E17)/Inputs!$B$4))^2-MIN(Inputs!$B$4,(Inputs!$C$22*G17*E17))/D17*(Inputs!$B$5*MIN(1,(Inputs!$C$22*G17*E17)/Inputs!$B$4))^2/6)+(Inputs!$B$34-(Inputs!$B$22*F17*E17)/D17*(Inputs!$B$5*MIN(1,(Inputs!$C$22*G17*E17)/Inputs!$B$4))-MIN(Inputs!$B$4,(Inputs!$C$22*G17*E17))/D17*(Inputs!$B$5*MIN(1,(Inputs!$C$22*G17*E17)/Inputs!$B$4))/2)^2/(2*(MIN(Inputs!$B$4,(Inputs!$C$22*G17*E17))+(Inputs!$B$22*F17*E17))/D17)</f>
        <v>18.827895299095</v>
      </c>
    </row>
    <row r="18" customFormat="false" ht="15" hidden="false" customHeight="true" outlineLevel="0" collapsed="false">
      <c r="A18" s="4" t="s">
        <v>49</v>
      </c>
      <c r="B18" s="4" t="s">
        <v>54</v>
      </c>
      <c r="C18" s="4" t="s">
        <v>59</v>
      </c>
      <c r="D18" s="9" t="n">
        <f aca="false">INDEX(Inputs!$C$10:$C$18,MATCH(A18,Inputs!$A$10:$A$18,0))+INDEX(Inputs!$C$10:$C$18,MATCH(B18,Inputs!$A$10:$A$18,0))+INDEX(Inputs!$C$10:$C$18,MATCH(C18,Inputs!$A$10:$A$18,0))</f>
        <v>224</v>
      </c>
      <c r="E18" s="9" t="n">
        <f aca="false">D18*Inputs!$B$3</f>
        <v>2195.2</v>
      </c>
      <c r="F18" s="10" t="n">
        <f aca="false">INDEX(Inputs!$E$10:$E$18,MATCH(B18,Inputs!$A$10:$A$18,0))</f>
        <v>1</v>
      </c>
      <c r="G18" s="10" t="n">
        <f aca="false">INDEX(Inputs!$F$10:$F$18,MATCH(B18,Inputs!$A$10:$A$18,0))</f>
        <v>1</v>
      </c>
      <c r="H18" s="9" t="n">
        <f aca="false">INDEX(Inputs!$D$10:$D$18,MATCH(C18,Inputs!$A$10:$A$18,0))</f>
        <v>1400</v>
      </c>
      <c r="I18" s="9" t="n">
        <f aca="false">INDEX(Inputs!$G$10:$G$18,MATCH(C18,Inputs!$A$10:$A$18,0))</f>
        <v>14</v>
      </c>
      <c r="J18" s="11" t="n">
        <f aca="false">(MIN(H18,Inputs!$C$22*G18*E18)-Inputs!$B$22*F18*E18)/D18</f>
        <v>6.054</v>
      </c>
      <c r="K18" s="11" t="n">
        <f aca="false">(MIN(H18,Inputs!$C$23*G18*E18)-Inputs!$B$23*F18*E18)/D18</f>
        <v>3.724</v>
      </c>
      <c r="L18" s="11" t="n">
        <f aca="false">(MIN(H18,Inputs!$C$24*G18*E18)-Inputs!$B$24*F18*E18)/D18</f>
        <v>0.882</v>
      </c>
      <c r="M18" s="11" t="n">
        <f aca="false">(MIN(Inputs!$B$4,Inputs!$C$22*G18*E18)+Inputs!$B$22*F18*E18)/D18</f>
        <v>6.89242857142857</v>
      </c>
      <c r="N18" s="11" t="n">
        <f aca="false">(MIN(Inputs!$B$4,Inputs!$C$23*G18*E18)+Inputs!$B$23*F18*E18)/D18</f>
        <v>6.076</v>
      </c>
      <c r="O18" s="11" t="n">
        <f aca="false">(MIN(Inputs!$B$4,Inputs!$C$24*G18*E18)+Inputs!$B$24*F18*E18)/D18</f>
        <v>1.078</v>
      </c>
      <c r="P18" s="11" t="n">
        <f aca="false">Inputs!$B$22*F18*Inputs!$B$3</f>
        <v>0.196</v>
      </c>
      <c r="Q18" s="11" t="n">
        <f aca="false">Inputs!$B$23*F18*Inputs!$B$3</f>
        <v>1.176</v>
      </c>
      <c r="R18" s="11" t="n">
        <f aca="false">Inputs!$B$24*F18*Inputs!$B$3</f>
        <v>0.098</v>
      </c>
      <c r="S18" s="11" t="n">
        <f aca="false">IF(J18&lt;=0,"Cannot start",IF(I18^2/(2*J18)&gt;=Inputs!$B$28,SQRT(2*Inputs!$B$28/J18),I18/J18+(Inputs!$B$28-I18^2/(2*J18))/I18))</f>
        <v>8.29911746661003</v>
      </c>
      <c r="T18" s="11" t="n">
        <f aca="false">IF(K18&lt;=0,"Cannot start",IF(I18^2/(2*K18)&gt;=Inputs!$B$29,SQRT(2*Inputs!$B$29/K18),I18/K18+(Inputs!$B$29-I18^2/(2*K18))/I18))</f>
        <v>7.95112781954887</v>
      </c>
      <c r="U18" s="4" t="str">
        <f aca="false">IF(S18&lt;T18,"Asphalt route","Sand shortcut")</f>
        <v>Sand shortcut</v>
      </c>
      <c r="V18" s="11" t="n">
        <f aca="false">SQRT(2*Inputs!$B$31/L18)</f>
        <v>7.52923252421043</v>
      </c>
      <c r="W18" s="11" t="n">
        <f aca="false">L18*Inputs!$B$31/(Inputs!$B$23*F18*Inputs!$B$3)</f>
        <v>18.75</v>
      </c>
      <c r="X18" s="4" t="str">
        <f aca="false">IF(Inputs!$B$4&lt;=(Inputs!$C$22*G18*E18),"Brakes","Grip")</f>
        <v>Brakes</v>
      </c>
      <c r="Y18" s="11" t="n">
        <f aca="false">(Inputs!$B$34*(Inputs!$B$5*MIN(1,(Inputs!$C$22*G18*E18)/Inputs!$B$4))-0.5*(Inputs!$B$22*F18*E18)/D18*(Inputs!$B$5*MIN(1,(Inputs!$C$22*G18*E18)/Inputs!$B$4))^2-MIN(Inputs!$B$4,(Inputs!$C$22*G18*E18))/D18*(Inputs!$B$5*MIN(1,(Inputs!$C$22*G18*E18)/Inputs!$B$4))^2/6)+(Inputs!$B$34-(Inputs!$B$22*F18*E18)/D18*(Inputs!$B$5*MIN(1,(Inputs!$C$22*G18*E18)/Inputs!$B$4))-MIN(Inputs!$B$4,(Inputs!$C$22*G18*E18))/D18*(Inputs!$B$5*MIN(1,(Inputs!$C$22*G18*E18)/Inputs!$B$4))/2)^2/(2*(MIN(Inputs!$B$4,(Inputs!$C$22*G18*E18))+(Inputs!$B$22*F18*E18))/D18)</f>
        <v>19.8899143363651</v>
      </c>
    </row>
    <row r="19" customFormat="false" ht="15" hidden="false" customHeight="true" outlineLevel="0" collapsed="false">
      <c r="A19" s="4" t="s">
        <v>49</v>
      </c>
      <c r="B19" s="4" t="s">
        <v>55</v>
      </c>
      <c r="C19" s="4" t="s">
        <v>56</v>
      </c>
      <c r="D19" s="9" t="n">
        <f aca="false">INDEX(Inputs!$C$10:$C$18,MATCH(A19,Inputs!$A$10:$A$18,0))+INDEX(Inputs!$C$10:$C$18,MATCH(B19,Inputs!$A$10:$A$18,0))+INDEX(Inputs!$C$10:$C$18,MATCH(C19,Inputs!$A$10:$A$18,0))</f>
        <v>207</v>
      </c>
      <c r="E19" s="9" t="n">
        <f aca="false">D19*Inputs!$B$3</f>
        <v>2028.6</v>
      </c>
      <c r="F19" s="10" t="n">
        <f aca="false">INDEX(Inputs!$E$10:$E$18,MATCH(B19,Inputs!$A$10:$A$18,0))</f>
        <v>1.6</v>
      </c>
      <c r="G19" s="10" t="n">
        <f aca="false">INDEX(Inputs!$F$10:$F$18,MATCH(B19,Inputs!$A$10:$A$18,0))</f>
        <v>1.4</v>
      </c>
      <c r="H19" s="9" t="n">
        <f aca="false">INDEX(Inputs!$D$10:$D$18,MATCH(C19,Inputs!$A$10:$A$18,0))</f>
        <v>700</v>
      </c>
      <c r="I19" s="9" t="n">
        <f aca="false">INDEX(Inputs!$G$10:$G$18,MATCH(C19,Inputs!$A$10:$A$18,0))</f>
        <v>18</v>
      </c>
      <c r="J19" s="11" t="n">
        <f aca="false">(MIN(H19,Inputs!$C$22*G19*E19)-Inputs!$B$22*F19*E19)/D19</f>
        <v>3.06804251207729</v>
      </c>
      <c r="K19" s="11" t="n">
        <f aca="false">(MIN(H19,Inputs!$C$23*G19*E19)-Inputs!$B$23*F19*E19)/D19</f>
        <v>1.50004251207729</v>
      </c>
      <c r="L19" s="11" t="n">
        <f aca="false">(MIN(H19,Inputs!$C$24*G19*E19)-Inputs!$B$24*F19*E19)/D19</f>
        <v>1.2152</v>
      </c>
      <c r="M19" s="11" t="n">
        <f aca="false">(MIN(Inputs!$B$4,Inputs!$C$22*G19*E19)+Inputs!$B$22*F19*E19)/D19</f>
        <v>7.5599768115942</v>
      </c>
      <c r="N19" s="11" t="n">
        <f aca="false">(MIN(Inputs!$B$4,Inputs!$C$23*G19*E19)+Inputs!$B$23*F19*E19)/D19</f>
        <v>8.7416</v>
      </c>
      <c r="O19" s="11" t="n">
        <f aca="false">(MIN(Inputs!$B$4,Inputs!$C$24*G19*E19)+Inputs!$B$24*F19*E19)/D19</f>
        <v>1.5288</v>
      </c>
      <c r="P19" s="11" t="n">
        <f aca="false">Inputs!$B$22*F19*Inputs!$B$3</f>
        <v>0.3136</v>
      </c>
      <c r="Q19" s="11" t="n">
        <f aca="false">Inputs!$B$23*F19*Inputs!$B$3</f>
        <v>1.8816</v>
      </c>
      <c r="R19" s="11" t="n">
        <f aca="false">Inputs!$B$24*F19*Inputs!$B$3</f>
        <v>0.1568</v>
      </c>
      <c r="S19" s="11" t="n">
        <f aca="false">IF(J19&lt;=0,"Cannot start",IF(I19^2/(2*J19)&gt;=Inputs!$B$28,SQRT(2*Inputs!$B$28/J19),I19/J19+(Inputs!$B$28-I19^2/(2*J19))/I19))</f>
        <v>8.4890220784514</v>
      </c>
      <c r="T19" s="11" t="n">
        <f aca="false">IF(K19&lt;=0,"Cannot start",IF(I19^2/(2*K19)&gt;=Inputs!$B$29,SQRT(2*Inputs!$B$29/K19),I19/K19+(Inputs!$B$29-I19^2/(2*K19))/I19))</f>
        <v>10.6456620931131</v>
      </c>
      <c r="U19" s="4" t="str">
        <f aca="false">IF(S19&lt;T19,"Asphalt route","Sand shortcut")</f>
        <v>Asphalt route</v>
      </c>
      <c r="V19" s="11" t="n">
        <f aca="false">SQRT(2*Inputs!$B$31/L19)</f>
        <v>6.41447507238482</v>
      </c>
      <c r="W19" s="11" t="n">
        <f aca="false">L19*Inputs!$B$31/(Inputs!$B$23*F19*Inputs!$B$3)</f>
        <v>16.1458333333333</v>
      </c>
      <c r="X19" s="4" t="str">
        <f aca="false">IF(Inputs!$B$4&lt;=(Inputs!$C$22*G19*E19),"Brakes","Grip")</f>
        <v>Brakes</v>
      </c>
      <c r="Y19" s="11" t="n">
        <f aca="false">(Inputs!$B$34*(Inputs!$B$5*MIN(1,(Inputs!$C$22*G19*E19)/Inputs!$B$4))-0.5*(Inputs!$B$22*F19*E19)/D19*(Inputs!$B$5*MIN(1,(Inputs!$C$22*G19*E19)/Inputs!$B$4))^2-MIN(Inputs!$B$4,(Inputs!$C$22*G19*E19))/D19*(Inputs!$B$5*MIN(1,(Inputs!$C$22*G19*E19)/Inputs!$B$4))^2/6)+(Inputs!$B$34-(Inputs!$B$22*F19*E19)/D19*(Inputs!$B$5*MIN(1,(Inputs!$C$22*G19*E19)/Inputs!$B$4))-MIN(Inputs!$B$4,(Inputs!$C$22*G19*E19))/D19*(Inputs!$B$5*MIN(1,(Inputs!$C$22*G19*E19)/Inputs!$B$4))/2)^2/(2*(MIN(Inputs!$B$4,(Inputs!$C$22*G19*E19))+(Inputs!$B$22*F19*E19))/D19)</f>
        <v>18.3905654199786</v>
      </c>
    </row>
    <row r="20" customFormat="false" ht="15" hidden="false" customHeight="true" outlineLevel="0" collapsed="false">
      <c r="A20" s="4" t="s">
        <v>49</v>
      </c>
      <c r="B20" s="4" t="s">
        <v>55</v>
      </c>
      <c r="C20" s="4" t="s">
        <v>58</v>
      </c>
      <c r="D20" s="9" t="n">
        <f aca="false">INDEX(Inputs!$C$10:$C$18,MATCH(A20,Inputs!$A$10:$A$18,0))+INDEX(Inputs!$C$10:$C$18,MATCH(B20,Inputs!$A$10:$A$18,0))+INDEX(Inputs!$C$10:$C$18,MATCH(C20,Inputs!$A$10:$A$18,0))</f>
        <v>217</v>
      </c>
      <c r="E20" s="9" t="n">
        <f aca="false">D20*Inputs!$B$3</f>
        <v>2126.6</v>
      </c>
      <c r="F20" s="10" t="n">
        <f aca="false">INDEX(Inputs!$E$10:$E$18,MATCH(B20,Inputs!$A$10:$A$18,0))</f>
        <v>1.6</v>
      </c>
      <c r="G20" s="10" t="n">
        <f aca="false">INDEX(Inputs!$F$10:$F$18,MATCH(B20,Inputs!$A$10:$A$18,0))</f>
        <v>1.4</v>
      </c>
      <c r="H20" s="9" t="n">
        <f aca="false">INDEX(Inputs!$D$10:$D$18,MATCH(C20,Inputs!$A$10:$A$18,0))</f>
        <v>1000</v>
      </c>
      <c r="I20" s="9" t="n">
        <f aca="false">INDEX(Inputs!$G$10:$G$18,MATCH(C20,Inputs!$A$10:$A$18,0))</f>
        <v>16</v>
      </c>
      <c r="J20" s="11" t="n">
        <f aca="false">(MIN(H20,Inputs!$C$22*G20*E20)-Inputs!$B$22*F20*E20)/D20</f>
        <v>4.29469493087558</v>
      </c>
      <c r="K20" s="11" t="n">
        <f aca="false">(MIN(H20,Inputs!$C$23*G20*E20)-Inputs!$B$23*F20*E20)/D20</f>
        <v>2.72669493087558</v>
      </c>
      <c r="L20" s="11" t="n">
        <f aca="false">(MIN(H20,Inputs!$C$24*G20*E20)-Inputs!$B$24*F20*E20)/D20</f>
        <v>1.2152</v>
      </c>
      <c r="M20" s="11" t="n">
        <f aca="false">(MIN(Inputs!$B$4,Inputs!$C$22*G20*E20)+Inputs!$B$22*F20*E20)/D20</f>
        <v>7.22604239631337</v>
      </c>
      <c r="N20" s="11" t="n">
        <f aca="false">(MIN(Inputs!$B$4,Inputs!$C$23*G20*E20)+Inputs!$B$23*F20*E20)/D20</f>
        <v>8.7416</v>
      </c>
      <c r="O20" s="11" t="n">
        <f aca="false">(MIN(Inputs!$B$4,Inputs!$C$24*G20*E20)+Inputs!$B$24*F20*E20)/D20</f>
        <v>1.5288</v>
      </c>
      <c r="P20" s="11" t="n">
        <f aca="false">Inputs!$B$22*F20*Inputs!$B$3</f>
        <v>0.3136</v>
      </c>
      <c r="Q20" s="11" t="n">
        <f aca="false">Inputs!$B$23*F20*Inputs!$B$3</f>
        <v>1.8816</v>
      </c>
      <c r="R20" s="11" t="n">
        <f aca="false">Inputs!$B$24*F20*Inputs!$B$3</f>
        <v>0.1568</v>
      </c>
      <c r="S20" s="11" t="n">
        <f aca="false">IF(J20&lt;=0,"Cannot start",IF(I20^2/(2*J20)&gt;=Inputs!$B$28,SQRT(2*Inputs!$B$28/J20),I20/J20+(Inputs!$B$28-I20^2/(2*J20))/I20))</f>
        <v>8.11276327626582</v>
      </c>
      <c r="T20" s="11" t="n">
        <f aca="false">IF(K20&lt;=0,"Cannot start",IF(I20^2/(2*K20)&gt;=Inputs!$B$29,SQRT(2*Inputs!$B$29/K20),I20/K20+(Inputs!$B$29-I20^2/(2*K20))/I20))</f>
        <v>8.2464549171462</v>
      </c>
      <c r="U20" s="4" t="str">
        <f aca="false">IF(S20&lt;T20,"Asphalt route","Sand shortcut")</f>
        <v>Asphalt route</v>
      </c>
      <c r="V20" s="11" t="n">
        <f aca="false">SQRT(2*Inputs!$B$31/L20)</f>
        <v>6.41447507238482</v>
      </c>
      <c r="W20" s="11" t="n">
        <f aca="false">L20*Inputs!$B$31/(Inputs!$B$23*F20*Inputs!$B$3)</f>
        <v>16.1458333333333</v>
      </c>
      <c r="X20" s="4" t="str">
        <f aca="false">IF(Inputs!$B$4&lt;=(Inputs!$C$22*G20*E20),"Brakes","Grip")</f>
        <v>Brakes</v>
      </c>
      <c r="Y20" s="11" t="n">
        <f aca="false">(Inputs!$B$34*(Inputs!$B$5*MIN(1,(Inputs!$C$22*G20*E20)/Inputs!$B$4))-0.5*(Inputs!$B$22*F20*E20)/D20*(Inputs!$B$5*MIN(1,(Inputs!$C$22*G20*E20)/Inputs!$B$4))^2-MIN(Inputs!$B$4,(Inputs!$C$22*G20*E20))/D20*(Inputs!$B$5*MIN(1,(Inputs!$C$22*G20*E20)/Inputs!$B$4))^2/6)+(Inputs!$B$34-(Inputs!$B$22*F20*E20)/D20*(Inputs!$B$5*MIN(1,(Inputs!$C$22*G20*E20)/Inputs!$B$4))-MIN(Inputs!$B$4,(Inputs!$C$22*G20*E20))/D20*(Inputs!$B$5*MIN(1,(Inputs!$C$22*G20*E20)/Inputs!$B$4))/2)^2/(2*(MIN(Inputs!$B$4,(Inputs!$C$22*G20*E20))+(Inputs!$B$22*F20*E20))/D20)</f>
        <v>19.0745640751766</v>
      </c>
    </row>
    <row r="21" customFormat="false" ht="15" hidden="false" customHeight="true" outlineLevel="0" collapsed="false">
      <c r="A21" s="4" t="s">
        <v>49</v>
      </c>
      <c r="B21" s="4" t="s">
        <v>55</v>
      </c>
      <c r="C21" s="4" t="s">
        <v>59</v>
      </c>
      <c r="D21" s="9" t="n">
        <f aca="false">INDEX(Inputs!$C$10:$C$18,MATCH(A21,Inputs!$A$10:$A$18,0))+INDEX(Inputs!$C$10:$C$18,MATCH(B21,Inputs!$A$10:$A$18,0))+INDEX(Inputs!$C$10:$C$18,MATCH(C21,Inputs!$A$10:$A$18,0))</f>
        <v>232</v>
      </c>
      <c r="E21" s="9" t="n">
        <f aca="false">D21*Inputs!$B$3</f>
        <v>2273.6</v>
      </c>
      <c r="F21" s="10" t="n">
        <f aca="false">INDEX(Inputs!$E$10:$E$18,MATCH(B21,Inputs!$A$10:$A$18,0))</f>
        <v>1.6</v>
      </c>
      <c r="G21" s="10" t="n">
        <f aca="false">INDEX(Inputs!$F$10:$F$18,MATCH(B21,Inputs!$A$10:$A$18,0))</f>
        <v>1.4</v>
      </c>
      <c r="H21" s="9" t="n">
        <f aca="false">INDEX(Inputs!$D$10:$D$18,MATCH(C21,Inputs!$A$10:$A$18,0))</f>
        <v>1400</v>
      </c>
      <c r="I21" s="9" t="n">
        <f aca="false">INDEX(Inputs!$G$10:$G$18,MATCH(C21,Inputs!$A$10:$A$18,0))</f>
        <v>14</v>
      </c>
      <c r="J21" s="11" t="n">
        <f aca="false">(MIN(H21,Inputs!$C$22*G21*E21)-Inputs!$B$22*F21*E21)/D21</f>
        <v>5.72088275862069</v>
      </c>
      <c r="K21" s="11" t="n">
        <f aca="false">(MIN(H21,Inputs!$C$23*G21*E21)-Inputs!$B$23*F21*E21)/D21</f>
        <v>4.15288275862069</v>
      </c>
      <c r="L21" s="11" t="n">
        <f aca="false">(MIN(H21,Inputs!$C$24*G21*E21)-Inputs!$B$24*F21*E21)/D21</f>
        <v>1.2152</v>
      </c>
      <c r="M21" s="11" t="n">
        <f aca="false">(MIN(Inputs!$B$4,Inputs!$C$22*G21*E21)+Inputs!$B$22*F21*E21)/D21</f>
        <v>6.77911724137931</v>
      </c>
      <c r="N21" s="11" t="n">
        <f aca="false">(MIN(Inputs!$B$4,Inputs!$C$23*G21*E21)+Inputs!$B$23*F21*E21)/D21</f>
        <v>8.34711724137931</v>
      </c>
      <c r="O21" s="11" t="n">
        <f aca="false">(MIN(Inputs!$B$4,Inputs!$C$24*G21*E21)+Inputs!$B$24*F21*E21)/D21</f>
        <v>1.5288</v>
      </c>
      <c r="P21" s="11" t="n">
        <f aca="false">Inputs!$B$22*F21*Inputs!$B$3</f>
        <v>0.3136</v>
      </c>
      <c r="Q21" s="11" t="n">
        <f aca="false">Inputs!$B$23*F21*Inputs!$B$3</f>
        <v>1.8816</v>
      </c>
      <c r="R21" s="11" t="n">
        <f aca="false">Inputs!$B$24*F21*Inputs!$B$3</f>
        <v>0.1568</v>
      </c>
      <c r="S21" s="11" t="n">
        <f aca="false">IF(J21&lt;=0,"Cannot start",IF(I21^2/(2*J21)&gt;=Inputs!$B$28,SQRT(2*Inputs!$B$28/J21),I21/J21+(Inputs!$B$28-I21^2/(2*J21))/I21))</f>
        <v>8.36644453231235</v>
      </c>
      <c r="T21" s="11" t="n">
        <f aca="false">IF(K21&lt;=0,"Cannot start",IF(I21^2/(2*K21)&gt;=Inputs!$B$29,SQRT(2*Inputs!$B$29/K21),I21/K21+(Inputs!$B$29-I21^2/(2*K21))/I21))</f>
        <v>7.75700468972114</v>
      </c>
      <c r="U21" s="4" t="str">
        <f aca="false">IF(S21&lt;T21,"Asphalt route","Sand shortcut")</f>
        <v>Sand shortcut</v>
      </c>
      <c r="V21" s="11" t="n">
        <f aca="false">SQRT(2*Inputs!$B$31/L21)</f>
        <v>6.41447507238482</v>
      </c>
      <c r="W21" s="11" t="n">
        <f aca="false">L21*Inputs!$B$31/(Inputs!$B$23*F21*Inputs!$B$3)</f>
        <v>16.1458333333333</v>
      </c>
      <c r="X21" s="4" t="str">
        <f aca="false">IF(Inputs!$B$4&lt;=(Inputs!$C$22*G21*E21),"Brakes","Grip")</f>
        <v>Brakes</v>
      </c>
      <c r="Y21" s="11" t="n">
        <f aca="false">(Inputs!$B$34*(Inputs!$B$5*MIN(1,(Inputs!$C$22*G21*E21)/Inputs!$B$4))-0.5*(Inputs!$B$22*F21*E21)/D21*(Inputs!$B$5*MIN(1,(Inputs!$C$22*G21*E21)/Inputs!$B$4))^2-MIN(Inputs!$B$4,(Inputs!$C$22*G21*E21))/D21*(Inputs!$B$5*MIN(1,(Inputs!$C$22*G21*E21)/Inputs!$B$4))^2/6)+(Inputs!$B$34-(Inputs!$B$22*F21*E21)/D21*(Inputs!$B$5*MIN(1,(Inputs!$C$22*G21*E21)/Inputs!$B$4))-MIN(Inputs!$B$4,(Inputs!$C$22*G21*E21))/D21*(Inputs!$B$5*MIN(1,(Inputs!$C$22*G21*E21)/Inputs!$B$4))/2)^2/(2*(MIN(Inputs!$B$4,(Inputs!$C$22*G21*E21))+(Inputs!$B$22*F21*E21))/D21)</f>
        <v>20.0949113333744</v>
      </c>
    </row>
    <row r="22" customFormat="false" ht="15" hidden="false" customHeight="true" outlineLevel="0" collapsed="false">
      <c r="A22" s="4" t="s">
        <v>51</v>
      </c>
      <c r="B22" s="4" t="s">
        <v>52</v>
      </c>
      <c r="C22" s="4" t="s">
        <v>56</v>
      </c>
      <c r="D22" s="9" t="n">
        <f aca="false">INDEX(Inputs!$C$10:$C$18,MATCH(A22,Inputs!$A$10:$A$18,0))+INDEX(Inputs!$C$10:$C$18,MATCH(B22,Inputs!$A$10:$A$18,0))+INDEX(Inputs!$C$10:$C$18,MATCH(C22,Inputs!$A$10:$A$18,0))</f>
        <v>251</v>
      </c>
      <c r="E22" s="9" t="n">
        <f aca="false">D22*Inputs!$B$3</f>
        <v>2459.8</v>
      </c>
      <c r="F22" s="10" t="n">
        <f aca="false">INDEX(Inputs!$E$10:$E$18,MATCH(B22,Inputs!$A$10:$A$18,0))</f>
        <v>0.6</v>
      </c>
      <c r="G22" s="10" t="n">
        <f aca="false">INDEX(Inputs!$F$10:$F$18,MATCH(B22,Inputs!$A$10:$A$18,0))</f>
        <v>0.8</v>
      </c>
      <c r="H22" s="9" t="n">
        <f aca="false">INDEX(Inputs!$D$10:$D$18,MATCH(C22,Inputs!$A$10:$A$18,0))</f>
        <v>700</v>
      </c>
      <c r="I22" s="9" t="n">
        <f aca="false">INDEX(Inputs!$G$10:$G$18,MATCH(C22,Inputs!$A$10:$A$18,0))</f>
        <v>18</v>
      </c>
      <c r="J22" s="11" t="n">
        <f aca="false">(MIN(H22,Inputs!$C$22*G22*E22)-Inputs!$B$22*F22*E22)/D22</f>
        <v>2.67124462151394</v>
      </c>
      <c r="K22" s="11" t="n">
        <f aca="false">(MIN(H22,Inputs!$C$23*G22*E22)-Inputs!$B$23*F22*E22)/D22</f>
        <v>2.08324462151394</v>
      </c>
      <c r="L22" s="11" t="n">
        <f aca="false">(MIN(H22,Inputs!$C$24*G22*E22)-Inputs!$B$24*F22*E22)/D22</f>
        <v>0.7252</v>
      </c>
      <c r="M22" s="11" t="n">
        <f aca="false">(MIN(Inputs!$B$4,Inputs!$C$22*G22*E22)+Inputs!$B$22*F22*E22)/D22</f>
        <v>6.09369561752988</v>
      </c>
      <c r="N22" s="11" t="n">
        <f aca="false">(MIN(Inputs!$B$4,Inputs!$C$23*G22*E22)+Inputs!$B$23*F22*E22)/D22</f>
        <v>4.6256</v>
      </c>
      <c r="O22" s="11" t="n">
        <f aca="false">(MIN(Inputs!$B$4,Inputs!$C$24*G22*E22)+Inputs!$B$24*F22*E22)/D22</f>
        <v>0.8428</v>
      </c>
      <c r="P22" s="11" t="n">
        <f aca="false">Inputs!$B$22*F22*Inputs!$B$3</f>
        <v>0.1176</v>
      </c>
      <c r="Q22" s="11" t="n">
        <f aca="false">Inputs!$B$23*F22*Inputs!$B$3</f>
        <v>0.7056</v>
      </c>
      <c r="R22" s="11" t="n">
        <f aca="false">Inputs!$B$24*F22*Inputs!$B$3</f>
        <v>0.0588</v>
      </c>
      <c r="S22" s="11" t="n">
        <f aca="false">IF(J22&lt;=0,"Cannot start",IF(I22^2/(2*J22)&gt;=Inputs!$B$28,SQRT(2*Inputs!$B$28/J22),I22/J22+(Inputs!$B$28-I22^2/(2*J22))/I22))</f>
        <v>8.92477151111233</v>
      </c>
      <c r="T22" s="11" t="n">
        <f aca="false">IF(K22&lt;=0,"Cannot start",IF(I22^2/(2*K22)&gt;=Inputs!$B$29,SQRT(2*Inputs!$B$29/K22),I22/K22+(Inputs!$B$29-I22^2/(2*K22))/I22))</f>
        <v>9.04240618288426</v>
      </c>
      <c r="U22" s="4" t="str">
        <f aca="false">IF(S22&lt;T22,"Asphalt route","Sand shortcut")</f>
        <v>Asphalt route</v>
      </c>
      <c r="V22" s="11" t="n">
        <f aca="false">SQRT(2*Inputs!$B$31/L22)</f>
        <v>8.30340276741566</v>
      </c>
      <c r="W22" s="11" t="n">
        <f aca="false">L22*Inputs!$B$31/(Inputs!$B$23*F22*Inputs!$B$3)</f>
        <v>25.6944444444445</v>
      </c>
      <c r="X22" s="4" t="str">
        <f aca="false">IF(Inputs!$B$4&lt;=(Inputs!$C$22*G22*E22),"Brakes","Grip")</f>
        <v>Brakes</v>
      </c>
      <c r="Y22" s="11" t="n">
        <f aca="false">(Inputs!$B$34*(Inputs!$B$5*MIN(1,(Inputs!$C$22*G22*E22)/Inputs!$B$4))-0.5*(Inputs!$B$22*F22*E22)/D22*(Inputs!$B$5*MIN(1,(Inputs!$C$22*G22*E22)/Inputs!$B$4))^2-MIN(Inputs!$B$4,(Inputs!$C$22*G22*E22))/D22*(Inputs!$B$5*MIN(1,(Inputs!$C$22*G22*E22)/Inputs!$B$4))^2/6)+(Inputs!$B$34-(Inputs!$B$22*F22*E22)/D22*(Inputs!$B$5*MIN(1,(Inputs!$C$22*G22*E22)/Inputs!$B$4))-MIN(Inputs!$B$4,(Inputs!$C$22*G22*E22))/D22*(Inputs!$B$5*MIN(1,(Inputs!$C$22*G22*E22)/Inputs!$B$4))/2)^2/(2*(MIN(Inputs!$B$4,(Inputs!$C$22*G22*E22))+(Inputs!$B$22*F22*E22))/D22)</f>
        <v>22.0734782692112</v>
      </c>
    </row>
    <row r="23" customFormat="false" ht="15" hidden="false" customHeight="true" outlineLevel="0" collapsed="false">
      <c r="A23" s="4" t="s">
        <v>51</v>
      </c>
      <c r="B23" s="4" t="s">
        <v>52</v>
      </c>
      <c r="C23" s="4" t="s">
        <v>58</v>
      </c>
      <c r="D23" s="9" t="n">
        <f aca="false">INDEX(Inputs!$C$10:$C$18,MATCH(A23,Inputs!$A$10:$A$18,0))+INDEX(Inputs!$C$10:$C$18,MATCH(B23,Inputs!$A$10:$A$18,0))+INDEX(Inputs!$C$10:$C$18,MATCH(C23,Inputs!$A$10:$A$18,0))</f>
        <v>261</v>
      </c>
      <c r="E23" s="9" t="n">
        <f aca="false">D23*Inputs!$B$3</f>
        <v>2557.8</v>
      </c>
      <c r="F23" s="10" t="n">
        <f aca="false">INDEX(Inputs!$E$10:$E$18,MATCH(B23,Inputs!$A$10:$A$18,0))</f>
        <v>0.6</v>
      </c>
      <c r="G23" s="10" t="n">
        <f aca="false">INDEX(Inputs!$F$10:$F$18,MATCH(B23,Inputs!$A$10:$A$18,0))</f>
        <v>0.8</v>
      </c>
      <c r="H23" s="9" t="n">
        <f aca="false">INDEX(Inputs!$D$10:$D$18,MATCH(C23,Inputs!$A$10:$A$18,0))</f>
        <v>1000</v>
      </c>
      <c r="I23" s="9" t="n">
        <f aca="false">INDEX(Inputs!$G$10:$G$18,MATCH(C23,Inputs!$A$10:$A$18,0))</f>
        <v>16</v>
      </c>
      <c r="J23" s="11" t="n">
        <f aca="false">(MIN(H23,Inputs!$C$22*G23*E23)-Inputs!$B$22*F23*E23)/D23</f>
        <v>3.71381762452107</v>
      </c>
      <c r="K23" s="11" t="n">
        <f aca="false">(MIN(H23,Inputs!$C$23*G23*E23)-Inputs!$B$23*F23*E23)/D23</f>
        <v>3.12581762452107</v>
      </c>
      <c r="L23" s="11" t="n">
        <f aca="false">(MIN(H23,Inputs!$C$24*G23*E23)-Inputs!$B$24*F23*E23)/D23</f>
        <v>0.7252</v>
      </c>
      <c r="M23" s="11" t="n">
        <f aca="false">(MIN(Inputs!$B$4,Inputs!$C$22*G23*E23)+Inputs!$B$22*F23*E23)/D23</f>
        <v>5.86472643678161</v>
      </c>
      <c r="N23" s="11" t="n">
        <f aca="false">(MIN(Inputs!$B$4,Inputs!$C$23*G23*E23)+Inputs!$B$23*F23*E23)/D23</f>
        <v>4.6256</v>
      </c>
      <c r="O23" s="11" t="n">
        <f aca="false">(MIN(Inputs!$B$4,Inputs!$C$24*G23*E23)+Inputs!$B$24*F23*E23)/D23</f>
        <v>0.8428</v>
      </c>
      <c r="P23" s="11" t="n">
        <f aca="false">Inputs!$B$22*F23*Inputs!$B$3</f>
        <v>0.1176</v>
      </c>
      <c r="Q23" s="11" t="n">
        <f aca="false">Inputs!$B$23*F23*Inputs!$B$3</f>
        <v>0.7056</v>
      </c>
      <c r="R23" s="11" t="n">
        <f aca="false">Inputs!$B$24*F23*Inputs!$B$3</f>
        <v>0.0588</v>
      </c>
      <c r="S23" s="11" t="n">
        <f aca="false">IF(J23&lt;=0,"Cannot start",IF(I23^2/(2*J23)&gt;=Inputs!$B$28,SQRT(2*Inputs!$B$28/J23),I23/J23+(Inputs!$B$28-I23^2/(2*J23))/I23))</f>
        <v>8.4041176247263</v>
      </c>
      <c r="T23" s="11" t="n">
        <f aca="false">IF(K23&lt;=0,"Cannot start",IF(I23^2/(2*K23)&gt;=Inputs!$B$29,SQRT(2*Inputs!$B$29/K23),I23/K23+(Inputs!$B$29-I23^2/(2*K23))/I23))</f>
        <v>7.87183037719235</v>
      </c>
      <c r="U23" s="4" t="str">
        <f aca="false">IF(S23&lt;T23,"Asphalt route","Sand shortcut")</f>
        <v>Sand shortcut</v>
      </c>
      <c r="V23" s="11" t="n">
        <f aca="false">SQRT(2*Inputs!$B$31/L23)</f>
        <v>8.30340276741566</v>
      </c>
      <c r="W23" s="11" t="n">
        <f aca="false">L23*Inputs!$B$31/(Inputs!$B$23*F23*Inputs!$B$3)</f>
        <v>25.6944444444445</v>
      </c>
      <c r="X23" s="4" t="str">
        <f aca="false">IF(Inputs!$B$4&lt;=(Inputs!$C$22*G23*E23),"Brakes","Grip")</f>
        <v>Brakes</v>
      </c>
      <c r="Y23" s="11" t="n">
        <f aca="false">(Inputs!$B$34*(Inputs!$B$5*MIN(1,(Inputs!$C$22*G23*E23)/Inputs!$B$4))-0.5*(Inputs!$B$22*F23*E23)/D23*(Inputs!$B$5*MIN(1,(Inputs!$C$22*G23*E23)/Inputs!$B$4))^2-MIN(Inputs!$B$4,(Inputs!$C$22*G23*E23))/D23*(Inputs!$B$5*MIN(1,(Inputs!$C$22*G23*E23)/Inputs!$B$4))^2/6)+(Inputs!$B$34-(Inputs!$B$22*F23*E23)/D23*(Inputs!$B$5*MIN(1,(Inputs!$C$22*G23*E23)/Inputs!$B$4))-MIN(Inputs!$B$4,(Inputs!$C$22*G23*E23))/D23*(Inputs!$B$5*MIN(1,(Inputs!$C$22*G23*E23)/Inputs!$B$4))/2)^2/(2*(MIN(Inputs!$B$4,(Inputs!$C$22*G23*E23))+(Inputs!$B$22*F23*E23))/D23)</f>
        <v>22.7938178806165</v>
      </c>
    </row>
    <row r="24" customFormat="false" ht="15" hidden="false" customHeight="true" outlineLevel="0" collapsed="false">
      <c r="A24" s="4" t="s">
        <v>51</v>
      </c>
      <c r="B24" s="4" t="s">
        <v>52</v>
      </c>
      <c r="C24" s="4" t="s">
        <v>59</v>
      </c>
      <c r="D24" s="9" t="n">
        <f aca="false">INDEX(Inputs!$C$10:$C$18,MATCH(A24,Inputs!$A$10:$A$18,0))+INDEX(Inputs!$C$10:$C$18,MATCH(B24,Inputs!$A$10:$A$18,0))+INDEX(Inputs!$C$10:$C$18,MATCH(C24,Inputs!$A$10:$A$18,0))</f>
        <v>276</v>
      </c>
      <c r="E24" s="9" t="n">
        <f aca="false">D24*Inputs!$B$3</f>
        <v>2704.8</v>
      </c>
      <c r="F24" s="10" t="n">
        <f aca="false">INDEX(Inputs!$E$10:$E$18,MATCH(B24,Inputs!$A$10:$A$18,0))</f>
        <v>0.6</v>
      </c>
      <c r="G24" s="10" t="n">
        <f aca="false">INDEX(Inputs!$F$10:$F$18,MATCH(B24,Inputs!$A$10:$A$18,0))</f>
        <v>0.8</v>
      </c>
      <c r="H24" s="9" t="n">
        <f aca="false">INDEX(Inputs!$D$10:$D$18,MATCH(C24,Inputs!$A$10:$A$18,0))</f>
        <v>1400</v>
      </c>
      <c r="I24" s="9" t="n">
        <f aca="false">INDEX(Inputs!$G$10:$G$18,MATCH(C24,Inputs!$A$10:$A$18,0))</f>
        <v>14</v>
      </c>
      <c r="J24" s="11" t="n">
        <f aca="false">(MIN(H24,Inputs!$C$22*G24*E24)-Inputs!$B$22*F24*E24)/D24</f>
        <v>4.95486376811594</v>
      </c>
      <c r="K24" s="11" t="n">
        <f aca="false">(MIN(H24,Inputs!$C$23*G24*E24)-Inputs!$B$23*F24*E24)/D24</f>
        <v>3.2144</v>
      </c>
      <c r="L24" s="11" t="n">
        <f aca="false">(MIN(H24,Inputs!$C$24*G24*E24)-Inputs!$B$24*F24*E24)/D24</f>
        <v>0.7252</v>
      </c>
      <c r="M24" s="11" t="n">
        <f aca="false">(MIN(Inputs!$B$4,Inputs!$C$22*G24*E24)+Inputs!$B$22*F24*E24)/D24</f>
        <v>5.55238260869565</v>
      </c>
      <c r="N24" s="11" t="n">
        <f aca="false">(MIN(Inputs!$B$4,Inputs!$C$23*G24*E24)+Inputs!$B$23*F24*E24)/D24</f>
        <v>4.6256</v>
      </c>
      <c r="O24" s="11" t="n">
        <f aca="false">(MIN(Inputs!$B$4,Inputs!$C$24*G24*E24)+Inputs!$B$24*F24*E24)/D24</f>
        <v>0.8428</v>
      </c>
      <c r="P24" s="11" t="n">
        <f aca="false">Inputs!$B$22*F24*Inputs!$B$3</f>
        <v>0.1176</v>
      </c>
      <c r="Q24" s="11" t="n">
        <f aca="false">Inputs!$B$23*F24*Inputs!$B$3</f>
        <v>0.7056</v>
      </c>
      <c r="R24" s="11" t="n">
        <f aca="false">Inputs!$B$24*F24*Inputs!$B$3</f>
        <v>0.0588</v>
      </c>
      <c r="S24" s="11" t="n">
        <f aca="false">IF(J24&lt;=0,"Cannot start",IF(I24^2/(2*J24)&gt;=Inputs!$B$28,SQRT(2*Inputs!$B$28/J24),I24/J24+(Inputs!$B$28-I24^2/(2*J24))/I24))</f>
        <v>8.55561041471182</v>
      </c>
      <c r="T24" s="11" t="n">
        <f aca="false">IF(K24&lt;=0,"Cannot start",IF(I24^2/(2*K24)&gt;=Inputs!$B$29,SQRT(2*Inputs!$B$29/K24),I24/K24+(Inputs!$B$29-I24^2/(2*K24))/I24))</f>
        <v>8.24912891986063</v>
      </c>
      <c r="U24" s="4" t="str">
        <f aca="false">IF(S24&lt;T24,"Asphalt route","Sand shortcut")</f>
        <v>Sand shortcut</v>
      </c>
      <c r="V24" s="11" t="n">
        <f aca="false">SQRT(2*Inputs!$B$31/L24)</f>
        <v>8.30340276741566</v>
      </c>
      <c r="W24" s="11" t="n">
        <f aca="false">L24*Inputs!$B$31/(Inputs!$B$23*F24*Inputs!$B$3)</f>
        <v>25.6944444444445</v>
      </c>
      <c r="X24" s="4" t="str">
        <f aca="false">IF(Inputs!$B$4&lt;=(Inputs!$C$22*G24*E24),"Brakes","Grip")</f>
        <v>Brakes</v>
      </c>
      <c r="Y24" s="11" t="n">
        <f aca="false">(Inputs!$B$34*(Inputs!$B$5*MIN(1,(Inputs!$C$22*G24*E24)/Inputs!$B$4))-0.5*(Inputs!$B$22*F24*E24)/D24*(Inputs!$B$5*MIN(1,(Inputs!$C$22*G24*E24)/Inputs!$B$4))^2-MIN(Inputs!$B$4,(Inputs!$C$22*G24*E24))/D24*(Inputs!$B$5*MIN(1,(Inputs!$C$22*G24*E24)/Inputs!$B$4))^2/6)+(Inputs!$B$34-(Inputs!$B$22*F24*E24)/D24*(Inputs!$B$5*MIN(1,(Inputs!$C$22*G24*E24)/Inputs!$B$4))-MIN(Inputs!$B$4,(Inputs!$C$22*G24*E24))/D24*(Inputs!$B$5*MIN(1,(Inputs!$C$22*G24*E24)/Inputs!$B$4))/2)^2/(2*(MIN(Inputs!$B$4,(Inputs!$C$22*G24*E24))+(Inputs!$B$22*F24*E24))/D24)</f>
        <v>23.8719371561987</v>
      </c>
    </row>
    <row r="25" customFormat="false" ht="15" hidden="false" customHeight="true" outlineLevel="0" collapsed="false">
      <c r="A25" s="4" t="s">
        <v>51</v>
      </c>
      <c r="B25" s="4" t="s">
        <v>54</v>
      </c>
      <c r="C25" s="4" t="s">
        <v>56</v>
      </c>
      <c r="D25" s="9" t="n">
        <f aca="false">INDEX(Inputs!$C$10:$C$18,MATCH(A25,Inputs!$A$10:$A$18,0))+INDEX(Inputs!$C$10:$C$18,MATCH(B25,Inputs!$A$10:$A$18,0))+INDEX(Inputs!$C$10:$C$18,MATCH(C25,Inputs!$A$10:$A$18,0))</f>
        <v>259</v>
      </c>
      <c r="E25" s="9" t="n">
        <f aca="false">D25*Inputs!$B$3</f>
        <v>2538.2</v>
      </c>
      <c r="F25" s="10" t="n">
        <f aca="false">INDEX(Inputs!$E$10:$E$18,MATCH(B25,Inputs!$A$10:$A$18,0))</f>
        <v>1</v>
      </c>
      <c r="G25" s="10" t="n">
        <f aca="false">INDEX(Inputs!$F$10:$F$18,MATCH(B25,Inputs!$A$10:$A$18,0))</f>
        <v>1</v>
      </c>
      <c r="H25" s="9" t="n">
        <f aca="false">INDEX(Inputs!$D$10:$D$18,MATCH(C25,Inputs!$A$10:$A$18,0))</f>
        <v>700</v>
      </c>
      <c r="I25" s="9" t="n">
        <f aca="false">INDEX(Inputs!$G$10:$G$18,MATCH(C25,Inputs!$A$10:$A$18,0))</f>
        <v>18</v>
      </c>
      <c r="J25" s="11" t="n">
        <f aca="false">(MIN(H25,Inputs!$C$22*G25*E25)-Inputs!$B$22*F25*E25)/D25</f>
        <v>2.5067027027027</v>
      </c>
      <c r="K25" s="11" t="n">
        <f aca="false">(MIN(H25,Inputs!$C$23*G25*E25)-Inputs!$B$23*F25*E25)/D25</f>
        <v>1.5267027027027</v>
      </c>
      <c r="L25" s="11" t="n">
        <f aca="false">(MIN(H25,Inputs!$C$24*G25*E25)-Inputs!$B$24*F25*E25)/D25</f>
        <v>0.882</v>
      </c>
      <c r="M25" s="11" t="n">
        <f aca="false">(MIN(Inputs!$B$4,Inputs!$C$22*G25*E25)+Inputs!$B$22*F25*E25)/D25</f>
        <v>5.98750579150579</v>
      </c>
      <c r="N25" s="11" t="n">
        <f aca="false">(MIN(Inputs!$B$4,Inputs!$C$23*G25*E25)+Inputs!$B$23*F25*E25)/D25</f>
        <v>6.076</v>
      </c>
      <c r="O25" s="11" t="n">
        <f aca="false">(MIN(Inputs!$B$4,Inputs!$C$24*G25*E25)+Inputs!$B$24*F25*E25)/D25</f>
        <v>1.078</v>
      </c>
      <c r="P25" s="11" t="n">
        <f aca="false">Inputs!$B$22*F25*Inputs!$B$3</f>
        <v>0.196</v>
      </c>
      <c r="Q25" s="11" t="n">
        <f aca="false">Inputs!$B$23*F25*Inputs!$B$3</f>
        <v>1.176</v>
      </c>
      <c r="R25" s="11" t="n">
        <f aca="false">Inputs!$B$24*F25*Inputs!$B$3</f>
        <v>0.098</v>
      </c>
      <c r="S25" s="11" t="n">
        <f aca="false">IF(J25&lt;=0,"Cannot start",IF(I25^2/(2*J25)&gt;=Inputs!$B$28,SQRT(2*Inputs!$B$28/J25),I25/J25+(Inputs!$B$28-I25^2/(2*J25))/I25))</f>
        <v>9.14592947197424</v>
      </c>
      <c r="T25" s="11" t="n">
        <f aca="false">IF(K25&lt;=0,"Cannot start",IF(I25^2/(2*K25)&gt;=Inputs!$B$29,SQRT(2*Inputs!$B$29/K25),I25/K25+(Inputs!$B$29-I25^2/(2*K25))/I25))</f>
        <v>10.5523022803532</v>
      </c>
      <c r="U25" s="4" t="str">
        <f aca="false">IF(S25&lt;T25,"Asphalt route","Sand shortcut")</f>
        <v>Asphalt route</v>
      </c>
      <c r="V25" s="11" t="n">
        <f aca="false">SQRT(2*Inputs!$B$31/L25)</f>
        <v>7.52923252421043</v>
      </c>
      <c r="W25" s="11" t="n">
        <f aca="false">L25*Inputs!$B$31/(Inputs!$B$23*F25*Inputs!$B$3)</f>
        <v>18.75</v>
      </c>
      <c r="X25" s="4" t="str">
        <f aca="false">IF(Inputs!$B$4&lt;=(Inputs!$C$22*G25*E25),"Brakes","Grip")</f>
        <v>Brakes</v>
      </c>
      <c r="Y25" s="11" t="n">
        <f aca="false">(Inputs!$B$34*(Inputs!$B$5*MIN(1,(Inputs!$C$22*G25*E25)/Inputs!$B$4))-0.5*(Inputs!$B$22*F25*E25)/D25*(Inputs!$B$5*MIN(1,(Inputs!$C$22*G25*E25)/Inputs!$B$4))^2-MIN(Inputs!$B$4,(Inputs!$C$22*G25*E25))/D25*(Inputs!$B$5*MIN(1,(Inputs!$C$22*G25*E25)/Inputs!$B$4))^2/6)+(Inputs!$B$34-(Inputs!$B$22*F25*E25)/D25*(Inputs!$B$5*MIN(1,(Inputs!$C$22*G25*E25)/Inputs!$B$4))-MIN(Inputs!$B$4,(Inputs!$C$22*G25*E25))/D25*(Inputs!$B$5*MIN(1,(Inputs!$C$22*G25*E25)/Inputs!$B$4))/2)^2/(2*(MIN(Inputs!$B$4,(Inputs!$C$22*G25*E25))+(Inputs!$B$22*F25*E25))/D25)</f>
        <v>22.3501175691515</v>
      </c>
    </row>
    <row r="26" customFormat="false" ht="15" hidden="false" customHeight="true" outlineLevel="0" collapsed="false">
      <c r="A26" s="4" t="s">
        <v>51</v>
      </c>
      <c r="B26" s="4" t="s">
        <v>54</v>
      </c>
      <c r="C26" s="4" t="s">
        <v>58</v>
      </c>
      <c r="D26" s="9" t="n">
        <f aca="false">INDEX(Inputs!$C$10:$C$18,MATCH(A26,Inputs!$A$10:$A$18,0))+INDEX(Inputs!$C$10:$C$18,MATCH(B26,Inputs!$A$10:$A$18,0))+INDEX(Inputs!$C$10:$C$18,MATCH(C26,Inputs!$A$10:$A$18,0))</f>
        <v>269</v>
      </c>
      <c r="E26" s="9" t="n">
        <f aca="false">D26*Inputs!$B$3</f>
        <v>2636.2</v>
      </c>
      <c r="F26" s="10" t="n">
        <f aca="false">INDEX(Inputs!$E$10:$E$18,MATCH(B26,Inputs!$A$10:$A$18,0))</f>
        <v>1</v>
      </c>
      <c r="G26" s="10" t="n">
        <f aca="false">INDEX(Inputs!$F$10:$F$18,MATCH(B26,Inputs!$A$10:$A$18,0))</f>
        <v>1</v>
      </c>
      <c r="H26" s="9" t="n">
        <f aca="false">INDEX(Inputs!$D$10:$D$18,MATCH(C26,Inputs!$A$10:$A$18,0))</f>
        <v>1000</v>
      </c>
      <c r="I26" s="9" t="n">
        <f aca="false">INDEX(Inputs!$G$10:$G$18,MATCH(C26,Inputs!$A$10:$A$18,0))</f>
        <v>16</v>
      </c>
      <c r="J26" s="11" t="n">
        <f aca="false">(MIN(H26,Inputs!$C$22*G26*E26)-Inputs!$B$22*F26*E26)/D26</f>
        <v>3.52147211895911</v>
      </c>
      <c r="K26" s="11" t="n">
        <f aca="false">(MIN(H26,Inputs!$C$23*G26*E26)-Inputs!$B$23*F26*E26)/D26</f>
        <v>2.54147211895911</v>
      </c>
      <c r="L26" s="11" t="n">
        <f aca="false">(MIN(H26,Inputs!$C$24*G26*E26)-Inputs!$B$24*F26*E26)/D26</f>
        <v>0.882</v>
      </c>
      <c r="M26" s="11" t="n">
        <f aca="false">(MIN(Inputs!$B$4,Inputs!$C$22*G26*E26)+Inputs!$B$22*F26*E26)/D26</f>
        <v>5.77220817843866</v>
      </c>
      <c r="N26" s="11" t="n">
        <f aca="false">(MIN(Inputs!$B$4,Inputs!$C$23*G26*E26)+Inputs!$B$23*F26*E26)/D26</f>
        <v>6.076</v>
      </c>
      <c r="O26" s="11" t="n">
        <f aca="false">(MIN(Inputs!$B$4,Inputs!$C$24*G26*E26)+Inputs!$B$24*F26*E26)/D26</f>
        <v>1.078</v>
      </c>
      <c r="P26" s="11" t="n">
        <f aca="false">Inputs!$B$22*F26*Inputs!$B$3</f>
        <v>0.196</v>
      </c>
      <c r="Q26" s="11" t="n">
        <f aca="false">Inputs!$B$23*F26*Inputs!$B$3</f>
        <v>1.176</v>
      </c>
      <c r="R26" s="11" t="n">
        <f aca="false">Inputs!$B$24*F26*Inputs!$B$3</f>
        <v>0.098</v>
      </c>
      <c r="S26" s="11" t="n">
        <f aca="false">IF(J26&lt;=0,"Cannot start",IF(I26^2/(2*J26)&gt;=Inputs!$B$28,SQRT(2*Inputs!$B$28/J26),I26/J26+(Inputs!$B$28-I26^2/(2*J26))/I26))</f>
        <v>8.52177718004045</v>
      </c>
      <c r="T26" s="11" t="n">
        <f aca="false">IF(K26&lt;=0,"Cannot start",IF(I26^2/(2*K26)&gt;=Inputs!$B$29,SQRT(2*Inputs!$B$29/K26),I26/K26+(Inputs!$B$29-I26^2/(2*K26))/I26))</f>
        <v>8.46028192541278</v>
      </c>
      <c r="U26" s="4" t="str">
        <f aca="false">IF(S26&lt;T26,"Asphalt route","Sand shortcut")</f>
        <v>Sand shortcut</v>
      </c>
      <c r="V26" s="11" t="n">
        <f aca="false">SQRT(2*Inputs!$B$31/L26)</f>
        <v>7.52923252421043</v>
      </c>
      <c r="W26" s="11" t="n">
        <f aca="false">L26*Inputs!$B$31/(Inputs!$B$23*F26*Inputs!$B$3)</f>
        <v>18.75</v>
      </c>
      <c r="X26" s="4" t="str">
        <f aca="false">IF(Inputs!$B$4&lt;=(Inputs!$C$22*G26*E26),"Brakes","Grip")</f>
        <v>Brakes</v>
      </c>
      <c r="Y26" s="11" t="n">
        <f aca="false">(Inputs!$B$34*(Inputs!$B$5*MIN(1,(Inputs!$C$22*G26*E26)/Inputs!$B$4))-0.5*(Inputs!$B$22*F26*E26)/D26*(Inputs!$B$5*MIN(1,(Inputs!$C$22*G26*E26)/Inputs!$B$4))^2-MIN(Inputs!$B$4,(Inputs!$C$22*G26*E26))/D26*(Inputs!$B$5*MIN(1,(Inputs!$C$22*G26*E26)/Inputs!$B$4))^2/6)+(Inputs!$B$34-(Inputs!$B$22*F26*E26)/D26*(Inputs!$B$5*MIN(1,(Inputs!$C$22*G26*E26)/Inputs!$B$4))-MIN(Inputs!$B$4,(Inputs!$C$22*G26*E26))/D26*(Inputs!$B$5*MIN(1,(Inputs!$C$22*G26*E26)/Inputs!$B$4))/2)^2/(2*(MIN(Inputs!$B$4,(Inputs!$C$22*G26*E26))+(Inputs!$B$22*F26*E26))/D26)</f>
        <v>23.0486047405797</v>
      </c>
    </row>
    <row r="27" customFormat="false" ht="15" hidden="false" customHeight="true" outlineLevel="0" collapsed="false">
      <c r="A27" s="4" t="s">
        <v>51</v>
      </c>
      <c r="B27" s="4" t="s">
        <v>54</v>
      </c>
      <c r="C27" s="4" t="s">
        <v>59</v>
      </c>
      <c r="D27" s="9" t="n">
        <f aca="false">INDEX(Inputs!$C$10:$C$18,MATCH(A27,Inputs!$A$10:$A$18,0))+INDEX(Inputs!$C$10:$C$18,MATCH(B27,Inputs!$A$10:$A$18,0))+INDEX(Inputs!$C$10:$C$18,MATCH(C27,Inputs!$A$10:$A$18,0))</f>
        <v>284</v>
      </c>
      <c r="E27" s="9" t="n">
        <f aca="false">D27*Inputs!$B$3</f>
        <v>2783.2</v>
      </c>
      <c r="F27" s="10" t="n">
        <f aca="false">INDEX(Inputs!$E$10:$E$18,MATCH(B27,Inputs!$A$10:$A$18,0))</f>
        <v>1</v>
      </c>
      <c r="G27" s="10" t="n">
        <f aca="false">INDEX(Inputs!$F$10:$F$18,MATCH(B27,Inputs!$A$10:$A$18,0))</f>
        <v>1</v>
      </c>
      <c r="H27" s="9" t="n">
        <f aca="false">INDEX(Inputs!$D$10:$D$18,MATCH(C27,Inputs!$A$10:$A$18,0))</f>
        <v>1400</v>
      </c>
      <c r="I27" s="9" t="n">
        <f aca="false">INDEX(Inputs!$G$10:$G$18,MATCH(C27,Inputs!$A$10:$A$18,0))</f>
        <v>14</v>
      </c>
      <c r="J27" s="11" t="n">
        <f aca="false">(MIN(H27,Inputs!$C$22*G27*E27)-Inputs!$B$22*F27*E27)/D27</f>
        <v>4.73357746478873</v>
      </c>
      <c r="K27" s="11" t="n">
        <f aca="false">(MIN(H27,Inputs!$C$23*G27*E27)-Inputs!$B$23*F27*E27)/D27</f>
        <v>3.724</v>
      </c>
      <c r="L27" s="11" t="n">
        <f aca="false">(MIN(H27,Inputs!$C$24*G27*E27)-Inputs!$B$24*F27*E27)/D27</f>
        <v>0.882</v>
      </c>
      <c r="M27" s="11" t="n">
        <f aca="false">(MIN(Inputs!$B$4,Inputs!$C$22*G27*E27)+Inputs!$B$22*F27*E27)/D27</f>
        <v>5.47769014084507</v>
      </c>
      <c r="N27" s="11" t="n">
        <f aca="false">(MIN(Inputs!$B$4,Inputs!$C$23*G27*E27)+Inputs!$B$23*F27*E27)/D27</f>
        <v>6.076</v>
      </c>
      <c r="O27" s="11" t="n">
        <f aca="false">(MIN(Inputs!$B$4,Inputs!$C$24*G27*E27)+Inputs!$B$24*F27*E27)/D27</f>
        <v>1.078</v>
      </c>
      <c r="P27" s="11" t="n">
        <f aca="false">Inputs!$B$22*F27*Inputs!$B$3</f>
        <v>0.196</v>
      </c>
      <c r="Q27" s="11" t="n">
        <f aca="false">Inputs!$B$23*F27*Inputs!$B$3</f>
        <v>1.176</v>
      </c>
      <c r="R27" s="11" t="n">
        <f aca="false">Inputs!$B$24*F27*Inputs!$B$3</f>
        <v>0.098</v>
      </c>
      <c r="S27" s="11" t="n">
        <f aca="false">IF(J27&lt;=0,"Cannot start",IF(I27^2/(2*J27)&gt;=Inputs!$B$28,SQRT(2*Inputs!$B$28/J27),I27/J27+(Inputs!$B$28-I27^2/(2*J27))/I27))</f>
        <v>8.62165411028195</v>
      </c>
      <c r="T27" s="11" t="n">
        <f aca="false">IF(K27&lt;=0,"Cannot start",IF(I27^2/(2*K27)&gt;=Inputs!$B$29,SQRT(2*Inputs!$B$29/K27),I27/K27+(Inputs!$B$29-I27^2/(2*K27))/I27))</f>
        <v>7.95112781954887</v>
      </c>
      <c r="U27" s="4" t="str">
        <f aca="false">IF(S27&lt;T27,"Asphalt route","Sand shortcut")</f>
        <v>Sand shortcut</v>
      </c>
      <c r="V27" s="11" t="n">
        <f aca="false">SQRT(2*Inputs!$B$31/L27)</f>
        <v>7.52923252421043</v>
      </c>
      <c r="W27" s="11" t="n">
        <f aca="false">L27*Inputs!$B$31/(Inputs!$B$23*F27*Inputs!$B$3)</f>
        <v>18.75</v>
      </c>
      <c r="X27" s="4" t="str">
        <f aca="false">IF(Inputs!$B$4&lt;=(Inputs!$C$22*G27*E27),"Brakes","Grip")</f>
        <v>Brakes</v>
      </c>
      <c r="Y27" s="11" t="n">
        <f aca="false">(Inputs!$B$34*(Inputs!$B$5*MIN(1,(Inputs!$C$22*G27*E27)/Inputs!$B$4))-0.5*(Inputs!$B$22*F27*E27)/D27*(Inputs!$B$5*MIN(1,(Inputs!$C$22*G27*E27)/Inputs!$B$4))^2-MIN(Inputs!$B$4,(Inputs!$C$22*G27*E27))/D27*(Inputs!$B$5*MIN(1,(Inputs!$C$22*G27*E27)/Inputs!$B$4))^2/6)+(Inputs!$B$34-(Inputs!$B$22*F27*E27)/D27*(Inputs!$B$5*MIN(1,(Inputs!$C$22*G27*E27)/Inputs!$B$4))-MIN(Inputs!$B$4,(Inputs!$C$22*G27*E27))/D27*(Inputs!$B$5*MIN(1,(Inputs!$C$22*G27*E27)/Inputs!$B$4))/2)^2/(2*(MIN(Inputs!$B$4,(Inputs!$C$22*G27*E27))+(Inputs!$B$22*F27*E27))/D27)</f>
        <v>24.0927498428641</v>
      </c>
    </row>
    <row r="28" customFormat="false" ht="15" hidden="false" customHeight="true" outlineLevel="0" collapsed="false">
      <c r="A28" s="4" t="s">
        <v>51</v>
      </c>
      <c r="B28" s="4" t="s">
        <v>55</v>
      </c>
      <c r="C28" s="4" t="s">
        <v>56</v>
      </c>
      <c r="D28" s="9" t="n">
        <f aca="false">INDEX(Inputs!$C$10:$C$18,MATCH(A28,Inputs!$A$10:$A$18,0))+INDEX(Inputs!$C$10:$C$18,MATCH(B28,Inputs!$A$10:$A$18,0))+INDEX(Inputs!$C$10:$C$18,MATCH(C28,Inputs!$A$10:$A$18,0))</f>
        <v>267</v>
      </c>
      <c r="E28" s="9" t="n">
        <f aca="false">D28*Inputs!$B$3</f>
        <v>2616.6</v>
      </c>
      <c r="F28" s="10" t="n">
        <f aca="false">INDEX(Inputs!$E$10:$E$18,MATCH(B28,Inputs!$A$10:$A$18,0))</f>
        <v>1.6</v>
      </c>
      <c r="G28" s="10" t="n">
        <f aca="false">INDEX(Inputs!$F$10:$F$18,MATCH(B28,Inputs!$A$10:$A$18,0))</f>
        <v>1.4</v>
      </c>
      <c r="H28" s="9" t="n">
        <f aca="false">INDEX(Inputs!$D$10:$D$18,MATCH(C28,Inputs!$A$10:$A$18,0))</f>
        <v>700</v>
      </c>
      <c r="I28" s="9" t="n">
        <f aca="false">INDEX(Inputs!$G$10:$G$18,MATCH(C28,Inputs!$A$10:$A$18,0))</f>
        <v>18</v>
      </c>
      <c r="J28" s="11" t="n">
        <f aca="false">(MIN(H28,Inputs!$C$22*G28*E28)-Inputs!$B$22*F28*E28)/D28</f>
        <v>2.30812284644195</v>
      </c>
      <c r="K28" s="11" t="n">
        <f aca="false">(MIN(H28,Inputs!$C$23*G28*E28)-Inputs!$B$23*F28*E28)/D28</f>
        <v>0.740122846441947</v>
      </c>
      <c r="L28" s="11" t="n">
        <f aca="false">(MIN(H28,Inputs!$C$24*G28*E28)-Inputs!$B$24*F28*E28)/D28</f>
        <v>1.2152</v>
      </c>
      <c r="M28" s="11" t="n">
        <f aca="false">(MIN(Inputs!$B$4,Inputs!$C$22*G28*E28)+Inputs!$B$22*F28*E28)/D28</f>
        <v>5.93157752808989</v>
      </c>
      <c r="N28" s="11" t="n">
        <f aca="false">(MIN(Inputs!$B$4,Inputs!$C$23*G28*E28)+Inputs!$B$23*F28*E28)/D28</f>
        <v>7.49957752808989</v>
      </c>
      <c r="O28" s="11" t="n">
        <f aca="false">(MIN(Inputs!$B$4,Inputs!$C$24*G28*E28)+Inputs!$B$24*F28*E28)/D28</f>
        <v>1.5288</v>
      </c>
      <c r="P28" s="11" t="n">
        <f aca="false">Inputs!$B$22*F28*Inputs!$B$3</f>
        <v>0.3136</v>
      </c>
      <c r="Q28" s="11" t="n">
        <f aca="false">Inputs!$B$23*F28*Inputs!$B$3</f>
        <v>1.8816</v>
      </c>
      <c r="R28" s="11" t="n">
        <f aca="false">Inputs!$B$24*F28*Inputs!$B$3</f>
        <v>0.1568</v>
      </c>
      <c r="S28" s="11" t="n">
        <f aca="false">IF(J28&lt;=0,"Cannot start",IF(I28^2/(2*J28)&gt;=Inputs!$B$28,SQRT(2*Inputs!$B$28/J28),I28/J28+(Inputs!$B$28-I28^2/(2*J28))/I28))</f>
        <v>9.4548280807913</v>
      </c>
      <c r="T28" s="11" t="n">
        <f aca="false">IF(K28&lt;=0,"Cannot start",IF(I28^2/(2*K28)&gt;=Inputs!$B$29,SQRT(2*Inputs!$B$29/K28),I28/K28+(Inputs!$B$29-I28^2/(2*K28))/I28))</f>
        <v>15.1555797950711</v>
      </c>
      <c r="U28" s="4" t="str">
        <f aca="false">IF(S28&lt;T28,"Asphalt route","Sand shortcut")</f>
        <v>Asphalt route</v>
      </c>
      <c r="V28" s="11" t="n">
        <f aca="false">SQRT(2*Inputs!$B$31/L28)</f>
        <v>6.41447507238482</v>
      </c>
      <c r="W28" s="11" t="n">
        <f aca="false">L28*Inputs!$B$31/(Inputs!$B$23*F28*Inputs!$B$3)</f>
        <v>16.1458333333333</v>
      </c>
      <c r="X28" s="4" t="str">
        <f aca="false">IF(Inputs!$B$4&lt;=(Inputs!$C$22*G28*E28),"Brakes","Grip")</f>
        <v>Brakes</v>
      </c>
      <c r="Y28" s="11" t="n">
        <f aca="false">(Inputs!$B$34*(Inputs!$B$5*MIN(1,(Inputs!$C$22*G28*E28)/Inputs!$B$4))-0.5*(Inputs!$B$22*F28*E28)/D28*(Inputs!$B$5*MIN(1,(Inputs!$C$22*G28*E28)/Inputs!$B$4))^2-MIN(Inputs!$B$4,(Inputs!$C$22*G28*E28))/D28*(Inputs!$B$5*MIN(1,(Inputs!$C$22*G28*E28)/Inputs!$B$4))^2/6)+(Inputs!$B$34-(Inputs!$B$22*F28*E28)/D28*(Inputs!$B$5*MIN(1,(Inputs!$C$22*G28*E28)/Inputs!$B$4))-MIN(Inputs!$B$4,(Inputs!$C$22*G28*E28))/D28*(Inputs!$B$5*MIN(1,(Inputs!$C$22*G28*E28)/Inputs!$B$4))/2)^2/(2*(MIN(Inputs!$B$4,(Inputs!$C$22*G28*E28))+(Inputs!$B$22*F28*E28))/D28)</f>
        <v>22.4502233088062</v>
      </c>
    </row>
    <row r="29" customFormat="false" ht="15" hidden="false" customHeight="true" outlineLevel="0" collapsed="false">
      <c r="A29" s="4" t="s">
        <v>51</v>
      </c>
      <c r="B29" s="4" t="s">
        <v>55</v>
      </c>
      <c r="C29" s="4" t="s">
        <v>58</v>
      </c>
      <c r="D29" s="9" t="n">
        <f aca="false">INDEX(Inputs!$C$10:$C$18,MATCH(A29,Inputs!$A$10:$A$18,0))+INDEX(Inputs!$C$10:$C$18,MATCH(B29,Inputs!$A$10:$A$18,0))+INDEX(Inputs!$C$10:$C$18,MATCH(C29,Inputs!$A$10:$A$18,0))</f>
        <v>277</v>
      </c>
      <c r="E29" s="9" t="n">
        <f aca="false">D29*Inputs!$B$3</f>
        <v>2714.6</v>
      </c>
      <c r="F29" s="10" t="n">
        <f aca="false">INDEX(Inputs!$E$10:$E$18,MATCH(B29,Inputs!$A$10:$A$18,0))</f>
        <v>1.6</v>
      </c>
      <c r="G29" s="10" t="n">
        <f aca="false">INDEX(Inputs!$F$10:$F$18,MATCH(B29,Inputs!$A$10:$A$18,0))</f>
        <v>1.4</v>
      </c>
      <c r="H29" s="9" t="n">
        <f aca="false">INDEX(Inputs!$D$10:$D$18,MATCH(C29,Inputs!$A$10:$A$18,0))</f>
        <v>1000</v>
      </c>
      <c r="I29" s="9" t="n">
        <f aca="false">INDEX(Inputs!$G$10:$G$18,MATCH(C29,Inputs!$A$10:$A$18,0))</f>
        <v>16</v>
      </c>
      <c r="J29" s="11" t="n">
        <f aca="false">(MIN(H29,Inputs!$C$22*G29*E29)-Inputs!$B$22*F29*E29)/D29</f>
        <v>3.2965083032491</v>
      </c>
      <c r="K29" s="11" t="n">
        <f aca="false">(MIN(H29,Inputs!$C$23*G29*E29)-Inputs!$B$23*F29*E29)/D29</f>
        <v>1.7285083032491</v>
      </c>
      <c r="L29" s="11" t="n">
        <f aca="false">(MIN(H29,Inputs!$C$24*G29*E29)-Inputs!$B$24*F29*E29)/D29</f>
        <v>1.2152</v>
      </c>
      <c r="M29" s="11" t="n">
        <f aca="false">(MIN(Inputs!$B$4,Inputs!$C$22*G29*E29)+Inputs!$B$22*F29*E29)/D29</f>
        <v>5.72876245487365</v>
      </c>
      <c r="N29" s="11" t="n">
        <f aca="false">(MIN(Inputs!$B$4,Inputs!$C$23*G29*E29)+Inputs!$B$23*F29*E29)/D29</f>
        <v>7.29676245487365</v>
      </c>
      <c r="O29" s="11" t="n">
        <f aca="false">(MIN(Inputs!$B$4,Inputs!$C$24*G29*E29)+Inputs!$B$24*F29*E29)/D29</f>
        <v>1.5288</v>
      </c>
      <c r="P29" s="11" t="n">
        <f aca="false">Inputs!$B$22*F29*Inputs!$B$3</f>
        <v>0.3136</v>
      </c>
      <c r="Q29" s="11" t="n">
        <f aca="false">Inputs!$B$23*F29*Inputs!$B$3</f>
        <v>1.8816</v>
      </c>
      <c r="R29" s="11" t="n">
        <f aca="false">Inputs!$B$24*F29*Inputs!$B$3</f>
        <v>0.1568</v>
      </c>
      <c r="S29" s="11" t="n">
        <f aca="false">IF(J29&lt;=0,"Cannot start",IF(I29^2/(2*J29)&gt;=Inputs!$B$28,SQRT(2*Inputs!$B$28/J29),I29/J29+(Inputs!$B$28-I29^2/(2*J29))/I29))</f>
        <v>8.67681020767187</v>
      </c>
      <c r="T29" s="11" t="n">
        <f aca="false">IF(K29&lt;=0,"Cannot start",IF(I29^2/(2*K29)&gt;=Inputs!$B$29,SQRT(2*Inputs!$B$29/K29),I29/K29+(Inputs!$B$29-I29^2/(2*K29))/I29))</f>
        <v>9.94076819226862</v>
      </c>
      <c r="U29" s="4" t="str">
        <f aca="false">IF(S29&lt;T29,"Asphalt route","Sand shortcut")</f>
        <v>Asphalt route</v>
      </c>
      <c r="V29" s="11" t="n">
        <f aca="false">SQRT(2*Inputs!$B$31/L29)</f>
        <v>6.41447507238482</v>
      </c>
      <c r="W29" s="11" t="n">
        <f aca="false">L29*Inputs!$B$31/(Inputs!$B$23*F29*Inputs!$B$3)</f>
        <v>16.1458333333333</v>
      </c>
      <c r="X29" s="4" t="str">
        <f aca="false">IF(Inputs!$B$4&lt;=(Inputs!$C$22*G29*E29),"Brakes","Grip")</f>
        <v>Brakes</v>
      </c>
      <c r="Y29" s="11" t="n">
        <f aca="false">(Inputs!$B$34*(Inputs!$B$5*MIN(1,(Inputs!$C$22*G29*E29)/Inputs!$B$4))-0.5*(Inputs!$B$22*F29*E29)/D29*(Inputs!$B$5*MIN(1,(Inputs!$C$22*G29*E29)/Inputs!$B$4))^2-MIN(Inputs!$B$4,(Inputs!$C$22*G29*E29))/D29*(Inputs!$B$5*MIN(1,(Inputs!$C$22*G29*E29)/Inputs!$B$4))^2/6)+(Inputs!$B$34-(Inputs!$B$22*F29*E29)/D29*(Inputs!$B$5*MIN(1,(Inputs!$C$22*G29*E29)/Inputs!$B$4))-MIN(Inputs!$B$4,(Inputs!$C$22*G29*E29))/D29*(Inputs!$B$5*MIN(1,(Inputs!$C$22*G29*E29)/Inputs!$B$4))/2)^2/(2*(MIN(Inputs!$B$4,(Inputs!$C$22*G29*E29))+(Inputs!$B$22*F29*E29))/D29)</f>
        <v>23.1167977299188</v>
      </c>
    </row>
    <row r="30" customFormat="false" ht="15" hidden="false" customHeight="true" outlineLevel="0" collapsed="false">
      <c r="A30" s="4" t="s">
        <v>51</v>
      </c>
      <c r="B30" s="4" t="s">
        <v>55</v>
      </c>
      <c r="C30" s="4" t="s">
        <v>59</v>
      </c>
      <c r="D30" s="9" t="n">
        <f aca="false">INDEX(Inputs!$C$10:$C$18,MATCH(A30,Inputs!$A$10:$A$18,0))+INDEX(Inputs!$C$10:$C$18,MATCH(B30,Inputs!$A$10:$A$18,0))+INDEX(Inputs!$C$10:$C$18,MATCH(C30,Inputs!$A$10:$A$18,0))</f>
        <v>292</v>
      </c>
      <c r="E30" s="9" t="n">
        <f aca="false">D30*Inputs!$B$3</f>
        <v>2861.6</v>
      </c>
      <c r="F30" s="10" t="n">
        <f aca="false">INDEX(Inputs!$E$10:$E$18,MATCH(B30,Inputs!$A$10:$A$18,0))</f>
        <v>1.6</v>
      </c>
      <c r="G30" s="10" t="n">
        <f aca="false">INDEX(Inputs!$F$10:$F$18,MATCH(B30,Inputs!$A$10:$A$18,0))</f>
        <v>1.4</v>
      </c>
      <c r="H30" s="9" t="n">
        <f aca="false">INDEX(Inputs!$D$10:$D$18,MATCH(C30,Inputs!$A$10:$A$18,0))</f>
        <v>1400</v>
      </c>
      <c r="I30" s="9" t="n">
        <f aca="false">INDEX(Inputs!$G$10:$G$18,MATCH(C30,Inputs!$A$10:$A$18,0))</f>
        <v>14</v>
      </c>
      <c r="J30" s="11" t="n">
        <f aca="false">(MIN(H30,Inputs!$C$22*G30*E30)-Inputs!$B$22*F30*E30)/D30</f>
        <v>4.48092054794521</v>
      </c>
      <c r="K30" s="11" t="n">
        <f aca="false">(MIN(H30,Inputs!$C$23*G30*E30)-Inputs!$B$23*F30*E30)/D30</f>
        <v>2.91292054794521</v>
      </c>
      <c r="L30" s="11" t="n">
        <f aca="false">(MIN(H30,Inputs!$C$24*G30*E30)-Inputs!$B$24*F30*E30)/D30</f>
        <v>1.2152</v>
      </c>
      <c r="M30" s="11" t="n">
        <f aca="false">(MIN(Inputs!$B$4,Inputs!$C$22*G30*E30)+Inputs!$B$22*F30*E30)/D30</f>
        <v>5.45058630136986</v>
      </c>
      <c r="N30" s="11" t="n">
        <f aca="false">(MIN(Inputs!$B$4,Inputs!$C$23*G30*E30)+Inputs!$B$23*F30*E30)/D30</f>
        <v>7.01858630136986</v>
      </c>
      <c r="O30" s="11" t="n">
        <f aca="false">(MIN(Inputs!$B$4,Inputs!$C$24*G30*E30)+Inputs!$B$24*F30*E30)/D30</f>
        <v>1.5288</v>
      </c>
      <c r="P30" s="11" t="n">
        <f aca="false">Inputs!$B$22*F30*Inputs!$B$3</f>
        <v>0.3136</v>
      </c>
      <c r="Q30" s="11" t="n">
        <f aca="false">Inputs!$B$23*F30*Inputs!$B$3</f>
        <v>1.8816</v>
      </c>
      <c r="R30" s="11" t="n">
        <f aca="false">Inputs!$B$24*F30*Inputs!$B$3</f>
        <v>0.1568</v>
      </c>
      <c r="S30" s="11" t="n">
        <f aca="false">IF(J30&lt;=0,"Cannot start",IF(I30^2/(2*J30)&gt;=Inputs!$B$28,SQRT(2*Inputs!$B$28/J30),I30/J30+(Inputs!$B$28-I30^2/(2*J30))/I30))</f>
        <v>8.70503614717132</v>
      </c>
      <c r="T30" s="11" t="n">
        <f aca="false">IF(K30&lt;=0,"Cannot start",IF(I30^2/(2*K30)&gt;=Inputs!$B$29,SQRT(2*Inputs!$B$29/K30),I30/K30+(Inputs!$B$29-I30^2/(2*K30))/I30))</f>
        <v>8.47451505620683</v>
      </c>
      <c r="U30" s="4" t="str">
        <f aca="false">IF(S30&lt;T30,"Asphalt route","Sand shortcut")</f>
        <v>Sand shortcut</v>
      </c>
      <c r="V30" s="11" t="n">
        <f aca="false">SQRT(2*Inputs!$B$31/L30)</f>
        <v>6.41447507238482</v>
      </c>
      <c r="W30" s="11" t="n">
        <f aca="false">L30*Inputs!$B$31/(Inputs!$B$23*F30*Inputs!$B$3)</f>
        <v>16.1458333333333</v>
      </c>
      <c r="X30" s="4" t="str">
        <f aca="false">IF(Inputs!$B$4&lt;=(Inputs!$C$22*G30*E30),"Brakes","Grip")</f>
        <v>Brakes</v>
      </c>
      <c r="Y30" s="11" t="n">
        <f aca="false">(Inputs!$B$34*(Inputs!$B$5*MIN(1,(Inputs!$C$22*G30*E30)/Inputs!$B$4))-0.5*(Inputs!$B$22*F30*E30)/D30*(Inputs!$B$5*MIN(1,(Inputs!$C$22*G30*E30)/Inputs!$B$4))^2-MIN(Inputs!$B$4,(Inputs!$C$22*G30*E30))/D30*(Inputs!$B$5*MIN(1,(Inputs!$C$22*G30*E30)/Inputs!$B$4))^2/6)+(Inputs!$B$34-(Inputs!$B$22*F30*E30)/D30*(Inputs!$B$5*MIN(1,(Inputs!$C$22*G30*E30)/Inputs!$B$4))-MIN(Inputs!$B$4,(Inputs!$C$22*G30*E30))/D30*(Inputs!$B$5*MIN(1,(Inputs!$C$22*G30*E30)/Inputs!$B$4))/2)^2/(2*(MIN(Inputs!$B$4,(Inputs!$C$22*G30*E30))+(Inputs!$B$22*F30*E30))/D30)</f>
        <v>24.1114783862897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127</v>
      </c>
    </row>
    <row r="2" customFormat="false" ht="15" hidden="false" customHeight="true" outlineLevel="0" collapsed="false">
      <c r="A2" s="8" t="s">
        <v>128</v>
      </c>
    </row>
    <row r="3" customFormat="false" ht="48" hidden="false" customHeight="true" outlineLevel="0" collapsed="false">
      <c r="A3" s="6" t="s">
        <v>47</v>
      </c>
      <c r="B3" s="6" t="s">
        <v>53</v>
      </c>
      <c r="C3" s="6" t="s">
        <v>57</v>
      </c>
      <c r="D3" s="6" t="s">
        <v>120</v>
      </c>
      <c r="E3" s="6" t="s">
        <v>121</v>
      </c>
      <c r="F3" s="6" t="s">
        <v>123</v>
      </c>
      <c r="G3" s="6" t="s">
        <v>124</v>
      </c>
      <c r="H3" s="6" t="s">
        <v>129</v>
      </c>
    </row>
    <row r="4" customFormat="false" ht="15" hidden="false" customHeight="true" outlineLevel="0" collapsed="false">
      <c r="A4" s="4" t="s">
        <v>46</v>
      </c>
      <c r="B4" s="4" t="s">
        <v>52</v>
      </c>
      <c r="C4" s="4" t="s">
        <v>56</v>
      </c>
      <c r="D4" s="11" t="n">
        <v>8.05</v>
      </c>
      <c r="E4" s="11" t="n">
        <v>8.017</v>
      </c>
      <c r="F4" s="11" t="n">
        <v>8.392</v>
      </c>
      <c r="G4" s="11" t="n">
        <v>25.704</v>
      </c>
      <c r="H4" s="11" t="n">
        <v>19.842</v>
      </c>
    </row>
    <row r="5" customFormat="false" ht="15" hidden="false" customHeight="true" outlineLevel="0" collapsed="false">
      <c r="A5" s="4" t="s">
        <v>46</v>
      </c>
      <c r="B5" s="4" t="s">
        <v>52</v>
      </c>
      <c r="C5" s="4" t="s">
        <v>58</v>
      </c>
      <c r="D5" s="11" t="n">
        <v>8.058</v>
      </c>
      <c r="E5" s="11" t="n">
        <v>8.175</v>
      </c>
      <c r="F5" s="11" t="n">
        <v>8.375</v>
      </c>
      <c r="G5" s="11" t="n">
        <v>25.743</v>
      </c>
      <c r="H5" s="11" t="n">
        <v>19.993</v>
      </c>
    </row>
    <row r="6" customFormat="false" ht="15" hidden="false" customHeight="true" outlineLevel="0" collapsed="false">
      <c r="A6" s="4" t="s">
        <v>46</v>
      </c>
      <c r="B6" s="4" t="s">
        <v>52</v>
      </c>
      <c r="C6" s="4" t="s">
        <v>59</v>
      </c>
      <c r="D6" s="11" t="n">
        <v>8.675</v>
      </c>
      <c r="E6" s="11" t="n">
        <v>8.542</v>
      </c>
      <c r="F6" s="11" t="n">
        <v>8.358</v>
      </c>
      <c r="G6" s="11" t="n">
        <v>25.732</v>
      </c>
      <c r="H6" s="11" t="n">
        <v>20.217</v>
      </c>
    </row>
    <row r="7" customFormat="false" ht="15" hidden="false" customHeight="true" outlineLevel="0" collapsed="false">
      <c r="A7" s="4" t="s">
        <v>46</v>
      </c>
      <c r="B7" s="4" t="s">
        <v>54</v>
      </c>
      <c r="C7" s="4" t="s">
        <v>56</v>
      </c>
      <c r="D7" s="11" t="n">
        <v>8.208</v>
      </c>
      <c r="E7" s="11" t="n">
        <v>8.142</v>
      </c>
      <c r="F7" s="11" t="n">
        <v>7.65</v>
      </c>
      <c r="G7" s="11" t="n">
        <v>18.762</v>
      </c>
      <c r="H7" s="11" t="n">
        <v>16.919</v>
      </c>
    </row>
    <row r="8" customFormat="false" ht="15" hidden="false" customHeight="true" outlineLevel="0" collapsed="false">
      <c r="A8" s="4" t="s">
        <v>46</v>
      </c>
      <c r="B8" s="4" t="s">
        <v>54</v>
      </c>
      <c r="C8" s="4" t="s">
        <v>58</v>
      </c>
      <c r="D8" s="11" t="n">
        <v>8.15</v>
      </c>
      <c r="E8" s="11" t="n">
        <v>7.967</v>
      </c>
      <c r="F8" s="11" t="n">
        <v>7.617</v>
      </c>
      <c r="G8" s="11" t="n">
        <v>18.752</v>
      </c>
      <c r="H8" s="11" t="n">
        <v>17.102</v>
      </c>
    </row>
    <row r="9" customFormat="false" ht="15" hidden="false" customHeight="true" outlineLevel="0" collapsed="false">
      <c r="A9" s="4" t="s">
        <v>46</v>
      </c>
      <c r="B9" s="4" t="s">
        <v>54</v>
      </c>
      <c r="C9" s="4" t="s">
        <v>59</v>
      </c>
      <c r="D9" s="11" t="n">
        <v>8.575</v>
      </c>
      <c r="E9" s="11" t="n">
        <v>8.35</v>
      </c>
      <c r="F9" s="11" t="n">
        <v>7.6</v>
      </c>
      <c r="G9" s="11" t="n">
        <v>18.77</v>
      </c>
      <c r="H9" s="11" t="n">
        <v>17.376</v>
      </c>
    </row>
    <row r="10" customFormat="false" ht="15" hidden="false" customHeight="true" outlineLevel="0" collapsed="false">
      <c r="A10" s="4" t="s">
        <v>46</v>
      </c>
      <c r="B10" s="4" t="s">
        <v>55</v>
      </c>
      <c r="C10" s="4" t="s">
        <v>56</v>
      </c>
      <c r="D10" s="11" t="n">
        <v>8.408</v>
      </c>
      <c r="E10" s="11" t="n">
        <v>9.342</v>
      </c>
      <c r="F10" s="11" t="n">
        <v>6.6</v>
      </c>
      <c r="G10" s="11" t="n">
        <v>16.183</v>
      </c>
      <c r="H10" s="11" t="n">
        <v>15.563</v>
      </c>
    </row>
    <row r="11" customFormat="false" ht="15" hidden="false" customHeight="true" outlineLevel="0" collapsed="false">
      <c r="A11" s="4" t="s">
        <v>46</v>
      </c>
      <c r="B11" s="4" t="s">
        <v>55</v>
      </c>
      <c r="C11" s="4" t="s">
        <v>58</v>
      </c>
      <c r="D11" s="11" t="n">
        <v>8.267</v>
      </c>
      <c r="E11" s="11" t="n">
        <v>8.1</v>
      </c>
      <c r="F11" s="11" t="n">
        <v>6.55</v>
      </c>
      <c r="G11" s="11" t="n">
        <v>16.168</v>
      </c>
      <c r="H11" s="11" t="n">
        <v>16.26</v>
      </c>
    </row>
    <row r="12" customFormat="false" ht="15" hidden="false" customHeight="true" outlineLevel="0" collapsed="false">
      <c r="A12" s="4" t="s">
        <v>46</v>
      </c>
      <c r="B12" s="4" t="s">
        <v>55</v>
      </c>
      <c r="C12" s="4" t="s">
        <v>59</v>
      </c>
      <c r="D12" s="11" t="n">
        <v>8.65</v>
      </c>
      <c r="E12" s="11" t="n">
        <v>8.067</v>
      </c>
      <c r="F12" s="11" t="n">
        <v>6.517</v>
      </c>
      <c r="G12" s="11" t="n">
        <v>16.154</v>
      </c>
      <c r="H12" s="11" t="n">
        <v>17.299</v>
      </c>
    </row>
    <row r="13" customFormat="false" ht="15" hidden="false" customHeight="true" outlineLevel="0" collapsed="false">
      <c r="A13" s="4" t="s">
        <v>49</v>
      </c>
      <c r="B13" s="4" t="s">
        <v>52</v>
      </c>
      <c r="C13" s="4" t="s">
        <v>56</v>
      </c>
      <c r="D13" s="11" t="n">
        <v>8.6</v>
      </c>
      <c r="E13" s="11" t="n">
        <v>8.358</v>
      </c>
      <c r="F13" s="11" t="n">
        <v>8.417</v>
      </c>
      <c r="G13" s="11" t="n">
        <v>25.709</v>
      </c>
      <c r="H13" s="11" t="n">
        <v>20.441</v>
      </c>
    </row>
    <row r="14" customFormat="false" ht="15" hidden="false" customHeight="true" outlineLevel="0" collapsed="false">
      <c r="A14" s="4" t="s">
        <v>49</v>
      </c>
      <c r="B14" s="4" t="s">
        <v>52</v>
      </c>
      <c r="C14" s="4" t="s">
        <v>58</v>
      </c>
      <c r="D14" s="11" t="n">
        <v>8.4</v>
      </c>
      <c r="E14" s="11" t="n">
        <v>8.267</v>
      </c>
      <c r="F14" s="11" t="n">
        <v>8.392</v>
      </c>
      <c r="G14" s="11" t="n">
        <v>25.743</v>
      </c>
      <c r="H14" s="11" t="n">
        <v>20.591</v>
      </c>
    </row>
    <row r="15" customFormat="false" ht="15" hidden="false" customHeight="true" outlineLevel="0" collapsed="false">
      <c r="A15" s="4" t="s">
        <v>49</v>
      </c>
      <c r="B15" s="4" t="s">
        <v>52</v>
      </c>
      <c r="C15" s="4" t="s">
        <v>59</v>
      </c>
      <c r="D15" s="11" t="n">
        <v>8.758</v>
      </c>
      <c r="E15" s="11" t="n">
        <v>8.6</v>
      </c>
      <c r="F15" s="11" t="n">
        <v>8.367</v>
      </c>
      <c r="G15" s="11" t="n">
        <v>25.709</v>
      </c>
      <c r="H15" s="11" t="n">
        <v>20.814</v>
      </c>
    </row>
    <row r="16" customFormat="false" ht="15" hidden="false" customHeight="true" outlineLevel="0" collapsed="false">
      <c r="A16" s="4" t="s">
        <v>49</v>
      </c>
      <c r="B16" s="4" t="s">
        <v>54</v>
      </c>
      <c r="C16" s="4" t="s">
        <v>56</v>
      </c>
      <c r="D16" s="11" t="n">
        <v>8.783</v>
      </c>
      <c r="E16" s="11" t="n">
        <v>9.233</v>
      </c>
      <c r="F16" s="11" t="n">
        <v>7.683</v>
      </c>
      <c r="G16" s="11" t="n">
        <v>18.775</v>
      </c>
      <c r="H16" s="11" t="n">
        <v>18.057</v>
      </c>
    </row>
    <row r="17" customFormat="false" ht="15" hidden="false" customHeight="true" outlineLevel="0" collapsed="false">
      <c r="A17" s="4" t="s">
        <v>49</v>
      </c>
      <c r="B17" s="4" t="s">
        <v>54</v>
      </c>
      <c r="C17" s="4" t="s">
        <v>58</v>
      </c>
      <c r="D17" s="11" t="n">
        <v>8.5</v>
      </c>
      <c r="E17" s="11" t="n">
        <v>8.15</v>
      </c>
      <c r="F17" s="11" t="n">
        <v>7.642</v>
      </c>
      <c r="G17" s="11" t="n">
        <v>18.77</v>
      </c>
      <c r="H17" s="11" t="n">
        <v>18.767</v>
      </c>
    </row>
    <row r="18" customFormat="false" ht="15" hidden="false" customHeight="true" outlineLevel="0" collapsed="false">
      <c r="A18" s="4" t="s">
        <v>49</v>
      </c>
      <c r="B18" s="4" t="s">
        <v>54</v>
      </c>
      <c r="C18" s="4" t="s">
        <v>59</v>
      </c>
      <c r="D18" s="11" t="n">
        <v>8.8</v>
      </c>
      <c r="E18" s="11" t="n">
        <v>8.433</v>
      </c>
      <c r="F18" s="11" t="n">
        <v>7.617</v>
      </c>
      <c r="G18" s="11" t="n">
        <v>18.777</v>
      </c>
      <c r="H18" s="11" t="n">
        <v>19.829</v>
      </c>
    </row>
    <row r="19" customFormat="false" ht="15" hidden="false" customHeight="true" outlineLevel="0" collapsed="false">
      <c r="A19" s="4" t="s">
        <v>49</v>
      </c>
      <c r="B19" s="4" t="s">
        <v>55</v>
      </c>
      <c r="C19" s="4" t="s">
        <v>56</v>
      </c>
      <c r="D19" s="11" t="n">
        <v>9.033</v>
      </c>
      <c r="E19" s="11" t="n">
        <v>11.425</v>
      </c>
      <c r="F19" s="11" t="n">
        <v>6.642</v>
      </c>
      <c r="G19" s="11" t="n">
        <v>16.173</v>
      </c>
      <c r="H19" s="11" t="n">
        <v>18.331</v>
      </c>
    </row>
    <row r="20" customFormat="false" ht="15" hidden="false" customHeight="true" outlineLevel="0" collapsed="false">
      <c r="A20" s="4" t="s">
        <v>49</v>
      </c>
      <c r="B20" s="4" t="s">
        <v>55</v>
      </c>
      <c r="C20" s="4" t="s">
        <v>58</v>
      </c>
      <c r="D20" s="11" t="n">
        <v>8.633</v>
      </c>
      <c r="E20" s="11" t="n">
        <v>8.95</v>
      </c>
      <c r="F20" s="11" t="n">
        <v>6.583</v>
      </c>
      <c r="G20" s="11" t="n">
        <v>16.182</v>
      </c>
      <c r="H20" s="11" t="n">
        <v>19.015</v>
      </c>
    </row>
    <row r="21" customFormat="false" ht="15" hidden="false" customHeight="true" outlineLevel="0" collapsed="false">
      <c r="A21" s="4" t="s">
        <v>49</v>
      </c>
      <c r="B21" s="4" t="s">
        <v>55</v>
      </c>
      <c r="C21" s="4" t="s">
        <v>59</v>
      </c>
      <c r="D21" s="11" t="n">
        <v>8.875</v>
      </c>
      <c r="E21" s="11" t="n">
        <v>8.408</v>
      </c>
      <c r="F21" s="11" t="n">
        <v>6.542</v>
      </c>
      <c r="G21" s="11" t="n">
        <v>16.169</v>
      </c>
      <c r="H21" s="11" t="n">
        <v>20.036</v>
      </c>
    </row>
    <row r="22" customFormat="false" ht="15" hidden="false" customHeight="true" outlineLevel="0" collapsed="false">
      <c r="A22" s="4" t="s">
        <v>51</v>
      </c>
      <c r="B22" s="4" t="s">
        <v>52</v>
      </c>
      <c r="C22" s="4" t="s">
        <v>56</v>
      </c>
      <c r="D22" s="11" t="n">
        <v>9.442</v>
      </c>
      <c r="E22" s="11" t="n">
        <v>9.667</v>
      </c>
      <c r="F22" s="11" t="n">
        <v>8.45</v>
      </c>
      <c r="G22" s="11" t="n">
        <v>25.692</v>
      </c>
      <c r="H22" s="11" t="n">
        <v>22.012</v>
      </c>
    </row>
    <row r="23" customFormat="false" ht="15" hidden="false" customHeight="true" outlineLevel="0" collapsed="false">
      <c r="A23" s="4" t="s">
        <v>51</v>
      </c>
      <c r="B23" s="4" t="s">
        <v>52</v>
      </c>
      <c r="C23" s="4" t="s">
        <v>58</v>
      </c>
      <c r="D23" s="11" t="n">
        <v>8.908</v>
      </c>
      <c r="E23" s="11" t="n">
        <v>8.458</v>
      </c>
      <c r="F23" s="11" t="n">
        <v>8.417</v>
      </c>
      <c r="G23" s="11" t="n">
        <v>25.74</v>
      </c>
      <c r="H23" s="11" t="n">
        <v>22.733</v>
      </c>
    </row>
    <row r="24" customFormat="false" ht="15" hidden="false" customHeight="true" outlineLevel="0" collapsed="false">
      <c r="A24" s="4" t="s">
        <v>51</v>
      </c>
      <c r="B24" s="4" t="s">
        <v>52</v>
      </c>
      <c r="C24" s="4" t="s">
        <v>59</v>
      </c>
      <c r="D24" s="11" t="n">
        <v>9.05</v>
      </c>
      <c r="E24" s="11" t="n">
        <v>8.7</v>
      </c>
      <c r="F24" s="11" t="n">
        <v>8.383</v>
      </c>
      <c r="G24" s="11" t="n">
        <v>25.701</v>
      </c>
      <c r="H24" s="11" t="n">
        <v>23.811</v>
      </c>
    </row>
    <row r="25" customFormat="false" ht="15" hidden="false" customHeight="true" outlineLevel="0" collapsed="false">
      <c r="A25" s="4" t="s">
        <v>51</v>
      </c>
      <c r="B25" s="4" t="s">
        <v>54</v>
      </c>
      <c r="C25" s="4" t="s">
        <v>56</v>
      </c>
      <c r="D25" s="11" t="n">
        <v>9.675</v>
      </c>
      <c r="E25" s="11" t="n">
        <v>11.267</v>
      </c>
      <c r="F25" s="11" t="n">
        <v>7.725</v>
      </c>
      <c r="G25" s="11" t="n">
        <v>18.752</v>
      </c>
      <c r="H25" s="11" t="n">
        <v>22.29</v>
      </c>
    </row>
    <row r="26" customFormat="false" ht="15" hidden="false" customHeight="true" outlineLevel="0" collapsed="false">
      <c r="A26" s="4" t="s">
        <v>51</v>
      </c>
      <c r="B26" s="4" t="s">
        <v>54</v>
      </c>
      <c r="C26" s="4" t="s">
        <v>58</v>
      </c>
      <c r="D26" s="11" t="n">
        <v>9.042</v>
      </c>
      <c r="E26" s="11" t="n">
        <v>9.117</v>
      </c>
      <c r="F26" s="11" t="n">
        <v>7.675</v>
      </c>
      <c r="G26" s="11" t="n">
        <v>18.775</v>
      </c>
      <c r="H26" s="11" t="n">
        <v>22.988</v>
      </c>
    </row>
    <row r="27" customFormat="false" ht="15" hidden="false" customHeight="true" outlineLevel="0" collapsed="false">
      <c r="A27" s="4" t="s">
        <v>51</v>
      </c>
      <c r="B27" s="4" t="s">
        <v>54</v>
      </c>
      <c r="C27" s="4" t="s">
        <v>59</v>
      </c>
      <c r="D27" s="11" t="n">
        <v>9.125</v>
      </c>
      <c r="E27" s="11" t="n">
        <v>8.558</v>
      </c>
      <c r="F27" s="11" t="n">
        <v>7.642</v>
      </c>
      <c r="G27" s="11" t="n">
        <v>18.786</v>
      </c>
      <c r="H27" s="11" t="n">
        <v>24.033</v>
      </c>
    </row>
    <row r="28" customFormat="false" ht="15" hidden="false" customHeight="true" outlineLevel="0" collapsed="false">
      <c r="A28" s="4" t="s">
        <v>51</v>
      </c>
      <c r="B28" s="4" t="s">
        <v>55</v>
      </c>
      <c r="C28" s="4" t="s">
        <v>56</v>
      </c>
      <c r="D28" s="11" t="n">
        <v>10.008</v>
      </c>
      <c r="E28" s="11" t="n">
        <v>16.017</v>
      </c>
      <c r="F28" s="11" t="n">
        <v>6.708</v>
      </c>
      <c r="G28" s="11" t="n">
        <v>16.178</v>
      </c>
      <c r="H28" s="11" t="n">
        <v>22.391</v>
      </c>
    </row>
    <row r="29" customFormat="false" ht="15" hidden="false" customHeight="true" outlineLevel="0" collapsed="false">
      <c r="A29" s="4" t="s">
        <v>51</v>
      </c>
      <c r="B29" s="4" t="s">
        <v>55</v>
      </c>
      <c r="C29" s="4" t="s">
        <v>58</v>
      </c>
      <c r="D29" s="11" t="n">
        <v>9.217</v>
      </c>
      <c r="E29" s="11" t="n">
        <v>10.7</v>
      </c>
      <c r="F29" s="11" t="n">
        <v>6.625</v>
      </c>
      <c r="G29" s="11" t="n">
        <v>16.161</v>
      </c>
      <c r="H29" s="11" t="n">
        <v>23.058</v>
      </c>
    </row>
    <row r="30" customFormat="false" ht="15" hidden="false" customHeight="true" outlineLevel="0" collapsed="false">
      <c r="A30" s="4" t="s">
        <v>51</v>
      </c>
      <c r="B30" s="4" t="s">
        <v>55</v>
      </c>
      <c r="C30" s="4" t="s">
        <v>59</v>
      </c>
      <c r="D30" s="11" t="n">
        <v>9.225</v>
      </c>
      <c r="E30" s="11" t="n">
        <v>9.167</v>
      </c>
      <c r="F30" s="11" t="n">
        <v>6.575</v>
      </c>
      <c r="G30" s="11" t="n">
        <v>16.172</v>
      </c>
      <c r="H30" s="11" t="n">
        <v>24.053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1" min="10" style="1" width="10"/>
  </cols>
  <sheetData>
    <row r="1" customFormat="false" ht="17.25" hidden="false" customHeight="true" outlineLevel="0" collapsed="false">
      <c r="A1" s="2" t="s">
        <v>130</v>
      </c>
    </row>
    <row r="3" customFormat="false" ht="39.75" hidden="false" customHeight="true" outlineLevel="0" collapsed="false">
      <c r="A3" s="6" t="s">
        <v>47</v>
      </c>
      <c r="B3" s="6" t="s">
        <v>53</v>
      </c>
      <c r="C3" s="6" t="s">
        <v>57</v>
      </c>
      <c r="D3" s="6" t="s">
        <v>131</v>
      </c>
      <c r="E3" s="6" t="s">
        <v>132</v>
      </c>
      <c r="F3" s="6" t="s">
        <v>133</v>
      </c>
      <c r="G3" s="6" t="s">
        <v>134</v>
      </c>
      <c r="H3" s="6" t="s">
        <v>135</v>
      </c>
      <c r="I3" s="6" t="s">
        <v>136</v>
      </c>
      <c r="J3" s="6" t="s">
        <v>137</v>
      </c>
      <c r="K3" s="6" t="s">
        <v>138</v>
      </c>
    </row>
    <row r="4" customFormat="false" ht="15" hidden="false" customHeight="true" outlineLevel="0" collapsed="false">
      <c r="A4" s="4" t="str">
        <f aca="false">Simulation!A4</f>
        <v>Light chassis</v>
      </c>
      <c r="B4" s="4" t="str">
        <f aca="false">Simulation!B4</f>
        <v>Smooth wheels</v>
      </c>
      <c r="C4" s="4" t="str">
        <f aca="false">Simulation!C4</f>
        <v>Small motor</v>
      </c>
      <c r="D4" s="11" t="n">
        <f aca="false">MIN(Simulation!D4,Simulation!E4)</f>
        <v>8.017</v>
      </c>
      <c r="E4" s="4" t="str">
        <f aca="false">IF(D4&lt;=Inputs!$B$30,"Pass","Fail")</f>
        <v>Pass</v>
      </c>
      <c r="F4" s="11" t="n">
        <f aca="false">Simulation!F4</f>
        <v>8.392</v>
      </c>
      <c r="G4" s="11" t="n">
        <f aca="false">Simulation!G4</f>
        <v>25.704</v>
      </c>
      <c r="H4" s="4" t="str">
        <f aca="false">IF(AND(F4&lt;=Inputs!$B$32,G4&gt;=Inputs!$B$33),"Pass","Fail")</f>
        <v>Fail</v>
      </c>
      <c r="I4" s="11" t="n">
        <f aca="false">Simulation!H4</f>
        <v>19.842</v>
      </c>
      <c r="J4" s="4" t="str">
        <f aca="false">IF(I4&lt;=Inputs!$B$36,"Pass","Fail")</f>
        <v>Pass</v>
      </c>
      <c r="K4" s="4" t="str">
        <f aca="false">IF(AND(E4="Pass",H4="Pass",J4="Pass"),"Pass","Fail")</f>
        <v>Fail</v>
      </c>
    </row>
    <row r="5" customFormat="false" ht="15" hidden="false" customHeight="true" outlineLevel="0" collapsed="false">
      <c r="A5" s="4" t="str">
        <f aca="false">Simulation!A5</f>
        <v>Light chassis</v>
      </c>
      <c r="B5" s="4" t="str">
        <f aca="false">Simulation!B5</f>
        <v>Smooth wheels</v>
      </c>
      <c r="C5" s="4" t="str">
        <f aca="false">Simulation!C5</f>
        <v>Medium motor</v>
      </c>
      <c r="D5" s="11" t="n">
        <f aca="false">MIN(Simulation!D5,Simulation!E5)</f>
        <v>8.058</v>
      </c>
      <c r="E5" s="4" t="str">
        <f aca="false">IF(D5&lt;=Inputs!$B$30,"Pass","Fail")</f>
        <v>Pass</v>
      </c>
      <c r="F5" s="11" t="n">
        <f aca="false">Simulation!F5</f>
        <v>8.375</v>
      </c>
      <c r="G5" s="11" t="n">
        <f aca="false">Simulation!G5</f>
        <v>25.743</v>
      </c>
      <c r="H5" s="4" t="str">
        <f aca="false">IF(AND(F5&lt;=Inputs!$B$32,G5&gt;=Inputs!$B$33),"Pass","Fail")</f>
        <v>Fail</v>
      </c>
      <c r="I5" s="11" t="n">
        <f aca="false">Simulation!H5</f>
        <v>19.993</v>
      </c>
      <c r="J5" s="4" t="str">
        <f aca="false">IF(I5&lt;=Inputs!$B$36,"Pass","Fail")</f>
        <v>Pass</v>
      </c>
      <c r="K5" s="4" t="str">
        <f aca="false">IF(AND(E5="Pass",H5="Pass",J5="Pass"),"Pass","Fail")</f>
        <v>Fail</v>
      </c>
    </row>
    <row r="6" customFormat="false" ht="15" hidden="false" customHeight="true" outlineLevel="0" collapsed="false">
      <c r="A6" s="4" t="str">
        <f aca="false">Simulation!A6</f>
        <v>Light chassis</v>
      </c>
      <c r="B6" s="4" t="str">
        <f aca="false">Simulation!B6</f>
        <v>Smooth wheels</v>
      </c>
      <c r="C6" s="4" t="str">
        <f aca="false">Simulation!C6</f>
        <v>Large motor</v>
      </c>
      <c r="D6" s="11" t="n">
        <f aca="false">MIN(Simulation!D6,Simulation!E6)</f>
        <v>8.542</v>
      </c>
      <c r="E6" s="4" t="str">
        <f aca="false">IF(D6&lt;=Inputs!$B$30,"Pass","Fail")</f>
        <v>Pass</v>
      </c>
      <c r="F6" s="11" t="n">
        <f aca="false">Simulation!F6</f>
        <v>8.358</v>
      </c>
      <c r="G6" s="11" t="n">
        <f aca="false">Simulation!G6</f>
        <v>25.732</v>
      </c>
      <c r="H6" s="4" t="str">
        <f aca="false">IF(AND(F6&lt;=Inputs!$B$32,G6&gt;=Inputs!$B$33),"Pass","Fail")</f>
        <v>Fail</v>
      </c>
      <c r="I6" s="11" t="n">
        <f aca="false">Simulation!H6</f>
        <v>20.217</v>
      </c>
      <c r="J6" s="4" t="str">
        <f aca="false">IF(I6&lt;=Inputs!$B$36,"Pass","Fail")</f>
        <v>Pass</v>
      </c>
      <c r="K6" s="4" t="str">
        <f aca="false">IF(AND(E6="Pass",H6="Pass",J6="Pass"),"Pass","Fail")</f>
        <v>Fail</v>
      </c>
    </row>
    <row r="7" customFormat="false" ht="15" hidden="false" customHeight="true" outlineLevel="0" collapsed="false">
      <c r="A7" s="4" t="str">
        <f aca="false">Simulation!A7</f>
        <v>Light chassis</v>
      </c>
      <c r="B7" s="4" t="str">
        <f aca="false">Simulation!B7</f>
        <v>All-terrain wheels</v>
      </c>
      <c r="C7" s="4" t="str">
        <f aca="false">Simulation!C7</f>
        <v>Small motor</v>
      </c>
      <c r="D7" s="11" t="n">
        <f aca="false">MIN(Simulation!D7,Simulation!E7)</f>
        <v>8.142</v>
      </c>
      <c r="E7" s="4" t="str">
        <f aca="false">IF(D7&lt;=Inputs!$B$30,"Pass","Fail")</f>
        <v>Pass</v>
      </c>
      <c r="F7" s="11" t="n">
        <f aca="false">Simulation!F7</f>
        <v>7.65</v>
      </c>
      <c r="G7" s="11" t="n">
        <f aca="false">Simulation!G7</f>
        <v>18.762</v>
      </c>
      <c r="H7" s="4" t="str">
        <f aca="false">IF(AND(F7&lt;=Inputs!$B$32,G7&gt;=Inputs!$B$33),"Pass","Fail")</f>
        <v>Pass</v>
      </c>
      <c r="I7" s="11" t="n">
        <f aca="false">Simulation!H7</f>
        <v>16.919</v>
      </c>
      <c r="J7" s="4" t="str">
        <f aca="false">IF(I7&lt;=Inputs!$B$36,"Pass","Fail")</f>
        <v>Pass</v>
      </c>
      <c r="K7" s="4" t="str">
        <f aca="false">IF(AND(E7="Pass",H7="Pass",J7="Pass"),"Pass","Fail")</f>
        <v>Pass</v>
      </c>
    </row>
    <row r="8" customFormat="false" ht="15" hidden="false" customHeight="true" outlineLevel="0" collapsed="false">
      <c r="A8" s="4" t="str">
        <f aca="false">Simulation!A8</f>
        <v>Light chassis</v>
      </c>
      <c r="B8" s="4" t="str">
        <f aca="false">Simulation!B8</f>
        <v>All-terrain wheels</v>
      </c>
      <c r="C8" s="4" t="str">
        <f aca="false">Simulation!C8</f>
        <v>Medium motor</v>
      </c>
      <c r="D8" s="11" t="n">
        <f aca="false">MIN(Simulation!D8,Simulation!E8)</f>
        <v>7.967</v>
      </c>
      <c r="E8" s="4" t="str">
        <f aca="false">IF(D8&lt;=Inputs!$B$30,"Pass","Fail")</f>
        <v>Pass</v>
      </c>
      <c r="F8" s="11" t="n">
        <f aca="false">Simulation!F8</f>
        <v>7.617</v>
      </c>
      <c r="G8" s="11" t="n">
        <f aca="false">Simulation!G8</f>
        <v>18.752</v>
      </c>
      <c r="H8" s="4" t="str">
        <f aca="false">IF(AND(F8&lt;=Inputs!$B$32,G8&gt;=Inputs!$B$33),"Pass","Fail")</f>
        <v>Pass</v>
      </c>
      <c r="I8" s="11" t="n">
        <f aca="false">Simulation!H8</f>
        <v>17.102</v>
      </c>
      <c r="J8" s="4" t="str">
        <f aca="false">IF(I8&lt;=Inputs!$B$36,"Pass","Fail")</f>
        <v>Pass</v>
      </c>
      <c r="K8" s="4" t="str">
        <f aca="false">IF(AND(E8="Pass",H8="Pass",J8="Pass"),"Pass","Fail")</f>
        <v>Pass</v>
      </c>
    </row>
    <row r="9" customFormat="false" ht="15" hidden="false" customHeight="true" outlineLevel="0" collapsed="false">
      <c r="A9" s="4" t="str">
        <f aca="false">Simulation!A9</f>
        <v>Light chassis</v>
      </c>
      <c r="B9" s="4" t="str">
        <f aca="false">Simulation!B9</f>
        <v>All-terrain wheels</v>
      </c>
      <c r="C9" s="4" t="str">
        <f aca="false">Simulation!C9</f>
        <v>Large motor</v>
      </c>
      <c r="D9" s="11" t="n">
        <f aca="false">MIN(Simulation!D9,Simulation!E9)</f>
        <v>8.35</v>
      </c>
      <c r="E9" s="4" t="str">
        <f aca="false">IF(D9&lt;=Inputs!$B$30,"Pass","Fail")</f>
        <v>Pass</v>
      </c>
      <c r="F9" s="11" t="n">
        <f aca="false">Simulation!F9</f>
        <v>7.6</v>
      </c>
      <c r="G9" s="11" t="n">
        <f aca="false">Simulation!G9</f>
        <v>18.77</v>
      </c>
      <c r="H9" s="4" t="str">
        <f aca="false">IF(AND(F9&lt;=Inputs!$B$32,G9&gt;=Inputs!$B$33),"Pass","Fail")</f>
        <v>Pass</v>
      </c>
      <c r="I9" s="11" t="n">
        <f aca="false">Simulation!H9</f>
        <v>17.376</v>
      </c>
      <c r="J9" s="4" t="str">
        <f aca="false">IF(I9&lt;=Inputs!$B$36,"Pass","Fail")</f>
        <v>Pass</v>
      </c>
      <c r="K9" s="4" t="str">
        <f aca="false">IF(AND(E9="Pass",H9="Pass",J9="Pass"),"Pass","Fail")</f>
        <v>Pass</v>
      </c>
    </row>
    <row r="10" customFormat="false" ht="15" hidden="false" customHeight="true" outlineLevel="0" collapsed="false">
      <c r="A10" s="4" t="str">
        <f aca="false">Simulation!A10</f>
        <v>Light chassis</v>
      </c>
      <c r="B10" s="4" t="str">
        <f aca="false">Simulation!B10</f>
        <v>Spiked wheels</v>
      </c>
      <c r="C10" s="4" t="str">
        <f aca="false">Simulation!C10</f>
        <v>Small motor</v>
      </c>
      <c r="D10" s="11" t="n">
        <f aca="false">MIN(Simulation!D10,Simulation!E10)</f>
        <v>8.408</v>
      </c>
      <c r="E10" s="4" t="str">
        <f aca="false">IF(D10&lt;=Inputs!$B$30,"Pass","Fail")</f>
        <v>Pass</v>
      </c>
      <c r="F10" s="11" t="n">
        <f aca="false">Simulation!F10</f>
        <v>6.6</v>
      </c>
      <c r="G10" s="11" t="n">
        <f aca="false">Simulation!G10</f>
        <v>16.183</v>
      </c>
      <c r="H10" s="4" t="str">
        <f aca="false">IF(AND(F10&lt;=Inputs!$B$32,G10&gt;=Inputs!$B$33),"Pass","Fail")</f>
        <v>Fail</v>
      </c>
      <c r="I10" s="11" t="n">
        <f aca="false">Simulation!H10</f>
        <v>15.563</v>
      </c>
      <c r="J10" s="4" t="str">
        <f aca="false">IF(I10&lt;=Inputs!$B$36,"Pass","Fail")</f>
        <v>Pass</v>
      </c>
      <c r="K10" s="4" t="str">
        <f aca="false">IF(AND(E10="Pass",H10="Pass",J10="Pass"),"Pass","Fail")</f>
        <v>Fail</v>
      </c>
    </row>
    <row r="11" customFormat="false" ht="15" hidden="false" customHeight="true" outlineLevel="0" collapsed="false">
      <c r="A11" s="4" t="str">
        <f aca="false">Simulation!A11</f>
        <v>Light chassis</v>
      </c>
      <c r="B11" s="4" t="str">
        <f aca="false">Simulation!B11</f>
        <v>Spiked wheels</v>
      </c>
      <c r="C11" s="4" t="str">
        <f aca="false">Simulation!C11</f>
        <v>Medium motor</v>
      </c>
      <c r="D11" s="11" t="n">
        <f aca="false">MIN(Simulation!D11,Simulation!E11)</f>
        <v>8.1</v>
      </c>
      <c r="E11" s="4" t="str">
        <f aca="false">IF(D11&lt;=Inputs!$B$30,"Pass","Fail")</f>
        <v>Pass</v>
      </c>
      <c r="F11" s="11" t="n">
        <f aca="false">Simulation!F11</f>
        <v>6.55</v>
      </c>
      <c r="G11" s="11" t="n">
        <f aca="false">Simulation!G11</f>
        <v>16.168</v>
      </c>
      <c r="H11" s="4" t="str">
        <f aca="false">IF(AND(F11&lt;=Inputs!$B$32,G11&gt;=Inputs!$B$33),"Pass","Fail")</f>
        <v>Fail</v>
      </c>
      <c r="I11" s="11" t="n">
        <f aca="false">Simulation!H11</f>
        <v>16.26</v>
      </c>
      <c r="J11" s="4" t="str">
        <f aca="false">IF(I11&lt;=Inputs!$B$36,"Pass","Fail")</f>
        <v>Pass</v>
      </c>
      <c r="K11" s="4" t="str">
        <f aca="false">IF(AND(E11="Pass",H11="Pass",J11="Pass"),"Pass","Fail")</f>
        <v>Fail</v>
      </c>
    </row>
    <row r="12" customFormat="false" ht="15" hidden="false" customHeight="true" outlineLevel="0" collapsed="false">
      <c r="A12" s="4" t="str">
        <f aca="false">Simulation!A12</f>
        <v>Light chassis</v>
      </c>
      <c r="B12" s="4" t="str">
        <f aca="false">Simulation!B12</f>
        <v>Spiked wheels</v>
      </c>
      <c r="C12" s="4" t="str">
        <f aca="false">Simulation!C12</f>
        <v>Large motor</v>
      </c>
      <c r="D12" s="11" t="n">
        <f aca="false">MIN(Simulation!D12,Simulation!E12)</f>
        <v>8.067</v>
      </c>
      <c r="E12" s="4" t="str">
        <f aca="false">IF(D12&lt;=Inputs!$B$30,"Pass","Fail")</f>
        <v>Pass</v>
      </c>
      <c r="F12" s="11" t="n">
        <f aca="false">Simulation!F12</f>
        <v>6.517</v>
      </c>
      <c r="G12" s="11" t="n">
        <f aca="false">Simulation!G12</f>
        <v>16.154</v>
      </c>
      <c r="H12" s="4" t="str">
        <f aca="false">IF(AND(F12&lt;=Inputs!$B$32,G12&gt;=Inputs!$B$33),"Pass","Fail")</f>
        <v>Fail</v>
      </c>
      <c r="I12" s="11" t="n">
        <f aca="false">Simulation!H12</f>
        <v>17.299</v>
      </c>
      <c r="J12" s="4" t="str">
        <f aca="false">IF(I12&lt;=Inputs!$B$36,"Pass","Fail")</f>
        <v>Pass</v>
      </c>
      <c r="K12" s="4" t="str">
        <f aca="false">IF(AND(E12="Pass",H12="Pass",J12="Pass"),"Pass","Fail")</f>
        <v>Fail</v>
      </c>
    </row>
    <row r="13" customFormat="false" ht="15" hidden="false" customHeight="true" outlineLevel="0" collapsed="false">
      <c r="A13" s="4" t="str">
        <f aca="false">Simulation!A13</f>
        <v>Standard chassis</v>
      </c>
      <c r="B13" s="4" t="str">
        <f aca="false">Simulation!B13</f>
        <v>Smooth wheels</v>
      </c>
      <c r="C13" s="4" t="str">
        <f aca="false">Simulation!C13</f>
        <v>Small motor</v>
      </c>
      <c r="D13" s="11" t="n">
        <f aca="false">MIN(Simulation!D13,Simulation!E13)</f>
        <v>8.358</v>
      </c>
      <c r="E13" s="4" t="str">
        <f aca="false">IF(D13&lt;=Inputs!$B$30,"Pass","Fail")</f>
        <v>Pass</v>
      </c>
      <c r="F13" s="11" t="n">
        <f aca="false">Simulation!F13</f>
        <v>8.417</v>
      </c>
      <c r="G13" s="11" t="n">
        <f aca="false">Simulation!G13</f>
        <v>25.709</v>
      </c>
      <c r="H13" s="4" t="str">
        <f aca="false">IF(AND(F13&lt;=Inputs!$B$32,G13&gt;=Inputs!$B$33),"Pass","Fail")</f>
        <v>Fail</v>
      </c>
      <c r="I13" s="11" t="n">
        <f aca="false">Simulation!H13</f>
        <v>20.441</v>
      </c>
      <c r="J13" s="4" t="str">
        <f aca="false">IF(I13&lt;=Inputs!$B$36,"Pass","Fail")</f>
        <v>Pass</v>
      </c>
      <c r="K13" s="4" t="str">
        <f aca="false">IF(AND(E13="Pass",H13="Pass",J13="Pass"),"Pass","Fail")</f>
        <v>Fail</v>
      </c>
    </row>
    <row r="14" customFormat="false" ht="15" hidden="false" customHeight="true" outlineLevel="0" collapsed="false">
      <c r="A14" s="4" t="str">
        <f aca="false">Simulation!A14</f>
        <v>Standard chassis</v>
      </c>
      <c r="B14" s="4" t="str">
        <f aca="false">Simulation!B14</f>
        <v>Smooth wheels</v>
      </c>
      <c r="C14" s="4" t="str">
        <f aca="false">Simulation!C14</f>
        <v>Medium motor</v>
      </c>
      <c r="D14" s="11" t="n">
        <f aca="false">MIN(Simulation!D14,Simulation!E14)</f>
        <v>8.267</v>
      </c>
      <c r="E14" s="4" t="str">
        <f aca="false">IF(D14&lt;=Inputs!$B$30,"Pass","Fail")</f>
        <v>Pass</v>
      </c>
      <c r="F14" s="11" t="n">
        <f aca="false">Simulation!F14</f>
        <v>8.392</v>
      </c>
      <c r="G14" s="11" t="n">
        <f aca="false">Simulation!G14</f>
        <v>25.743</v>
      </c>
      <c r="H14" s="4" t="str">
        <f aca="false">IF(AND(F14&lt;=Inputs!$B$32,G14&gt;=Inputs!$B$33),"Pass","Fail")</f>
        <v>Fail</v>
      </c>
      <c r="I14" s="11" t="n">
        <f aca="false">Simulation!H14</f>
        <v>20.591</v>
      </c>
      <c r="J14" s="4" t="str">
        <f aca="false">IF(I14&lt;=Inputs!$B$36,"Pass","Fail")</f>
        <v>Pass</v>
      </c>
      <c r="K14" s="4" t="str">
        <f aca="false">IF(AND(E14="Pass",H14="Pass",J14="Pass"),"Pass","Fail")</f>
        <v>Fail</v>
      </c>
    </row>
    <row r="15" customFormat="false" ht="15" hidden="false" customHeight="true" outlineLevel="0" collapsed="false">
      <c r="A15" s="4" t="str">
        <f aca="false">Simulation!A15</f>
        <v>Standard chassis</v>
      </c>
      <c r="B15" s="4" t="str">
        <f aca="false">Simulation!B15</f>
        <v>Smooth wheels</v>
      </c>
      <c r="C15" s="4" t="str">
        <f aca="false">Simulation!C15</f>
        <v>Large motor</v>
      </c>
      <c r="D15" s="11" t="n">
        <f aca="false">MIN(Simulation!D15,Simulation!E15)</f>
        <v>8.6</v>
      </c>
      <c r="E15" s="4" t="str">
        <f aca="false">IF(D15&lt;=Inputs!$B$30,"Pass","Fail")</f>
        <v>Pass</v>
      </c>
      <c r="F15" s="11" t="n">
        <f aca="false">Simulation!F15</f>
        <v>8.367</v>
      </c>
      <c r="G15" s="11" t="n">
        <f aca="false">Simulation!G15</f>
        <v>25.709</v>
      </c>
      <c r="H15" s="4" t="str">
        <f aca="false">IF(AND(F15&lt;=Inputs!$B$32,G15&gt;=Inputs!$B$33),"Pass","Fail")</f>
        <v>Fail</v>
      </c>
      <c r="I15" s="11" t="n">
        <f aca="false">Simulation!H15</f>
        <v>20.814</v>
      </c>
      <c r="J15" s="4" t="str">
        <f aca="false">IF(I15&lt;=Inputs!$B$36,"Pass","Fail")</f>
        <v>Pass</v>
      </c>
      <c r="K15" s="4" t="str">
        <f aca="false">IF(AND(E15="Pass",H15="Pass",J15="Pass"),"Pass","Fail")</f>
        <v>Fail</v>
      </c>
    </row>
    <row r="16" customFormat="false" ht="15" hidden="false" customHeight="true" outlineLevel="0" collapsed="false">
      <c r="A16" s="4" t="str">
        <f aca="false">Simulation!A16</f>
        <v>Standard chassis</v>
      </c>
      <c r="B16" s="4" t="str">
        <f aca="false">Simulation!B16</f>
        <v>All-terrain wheels</v>
      </c>
      <c r="C16" s="4" t="str">
        <f aca="false">Simulation!C16</f>
        <v>Small motor</v>
      </c>
      <c r="D16" s="11" t="n">
        <f aca="false">MIN(Simulation!D16,Simulation!E16)</f>
        <v>8.783</v>
      </c>
      <c r="E16" s="4" t="str">
        <f aca="false">IF(D16&lt;=Inputs!$B$30,"Pass","Fail")</f>
        <v>Pass</v>
      </c>
      <c r="F16" s="11" t="n">
        <f aca="false">Simulation!F16</f>
        <v>7.683</v>
      </c>
      <c r="G16" s="11" t="n">
        <f aca="false">Simulation!G16</f>
        <v>18.775</v>
      </c>
      <c r="H16" s="4" t="str">
        <f aca="false">IF(AND(F16&lt;=Inputs!$B$32,G16&gt;=Inputs!$B$33),"Pass","Fail")</f>
        <v>Pass</v>
      </c>
      <c r="I16" s="11" t="n">
        <f aca="false">Simulation!H16</f>
        <v>18.057</v>
      </c>
      <c r="J16" s="4" t="str">
        <f aca="false">IF(I16&lt;=Inputs!$B$36,"Pass","Fail")</f>
        <v>Pass</v>
      </c>
      <c r="K16" s="4" t="str">
        <f aca="false">IF(AND(E16="Pass",H16="Pass",J16="Pass"),"Pass","Fail")</f>
        <v>Pass</v>
      </c>
    </row>
    <row r="17" customFormat="false" ht="15" hidden="false" customHeight="true" outlineLevel="0" collapsed="false">
      <c r="A17" s="4" t="str">
        <f aca="false">Simulation!A17</f>
        <v>Standard chassis</v>
      </c>
      <c r="B17" s="4" t="str">
        <f aca="false">Simulation!B17</f>
        <v>All-terrain wheels</v>
      </c>
      <c r="C17" s="4" t="str">
        <f aca="false">Simulation!C17</f>
        <v>Medium motor</v>
      </c>
      <c r="D17" s="11" t="n">
        <f aca="false">MIN(Simulation!D17,Simulation!E17)</f>
        <v>8.15</v>
      </c>
      <c r="E17" s="4" t="str">
        <f aca="false">IF(D17&lt;=Inputs!$B$30,"Pass","Fail")</f>
        <v>Pass</v>
      </c>
      <c r="F17" s="11" t="n">
        <f aca="false">Simulation!F17</f>
        <v>7.642</v>
      </c>
      <c r="G17" s="11" t="n">
        <f aca="false">Simulation!G17</f>
        <v>18.77</v>
      </c>
      <c r="H17" s="4" t="str">
        <f aca="false">IF(AND(F17&lt;=Inputs!$B$32,G17&gt;=Inputs!$B$33),"Pass","Fail")</f>
        <v>Pass</v>
      </c>
      <c r="I17" s="11" t="n">
        <f aca="false">Simulation!H17</f>
        <v>18.767</v>
      </c>
      <c r="J17" s="4" t="str">
        <f aca="false">IF(I17&lt;=Inputs!$B$36,"Pass","Fail")</f>
        <v>Pass</v>
      </c>
      <c r="K17" s="4" t="str">
        <f aca="false">IF(AND(E17="Pass",H17="Pass",J17="Pass"),"Pass","Fail")</f>
        <v>Pass</v>
      </c>
    </row>
    <row r="18" customFormat="false" ht="15" hidden="false" customHeight="true" outlineLevel="0" collapsed="false">
      <c r="A18" s="4" t="str">
        <f aca="false">Simulation!A18</f>
        <v>Standard chassis</v>
      </c>
      <c r="B18" s="4" t="str">
        <f aca="false">Simulation!B18</f>
        <v>All-terrain wheels</v>
      </c>
      <c r="C18" s="4" t="str">
        <f aca="false">Simulation!C18</f>
        <v>Large motor</v>
      </c>
      <c r="D18" s="11" t="n">
        <f aca="false">MIN(Simulation!D18,Simulation!E18)</f>
        <v>8.433</v>
      </c>
      <c r="E18" s="4" t="str">
        <f aca="false">IF(D18&lt;=Inputs!$B$30,"Pass","Fail")</f>
        <v>Pass</v>
      </c>
      <c r="F18" s="11" t="n">
        <f aca="false">Simulation!F18</f>
        <v>7.617</v>
      </c>
      <c r="G18" s="11" t="n">
        <f aca="false">Simulation!G18</f>
        <v>18.777</v>
      </c>
      <c r="H18" s="4" t="str">
        <f aca="false">IF(AND(F18&lt;=Inputs!$B$32,G18&gt;=Inputs!$B$33),"Pass","Fail")</f>
        <v>Pass</v>
      </c>
      <c r="I18" s="11" t="n">
        <f aca="false">Simulation!H18</f>
        <v>19.829</v>
      </c>
      <c r="J18" s="4" t="str">
        <f aca="false">IF(I18&lt;=Inputs!$B$36,"Pass","Fail")</f>
        <v>Pass</v>
      </c>
      <c r="K18" s="4" t="str">
        <f aca="false">IF(AND(E18="Pass",H18="Pass",J18="Pass"),"Pass","Fail")</f>
        <v>Pass</v>
      </c>
    </row>
    <row r="19" customFormat="false" ht="15" hidden="false" customHeight="true" outlineLevel="0" collapsed="false">
      <c r="A19" s="4" t="str">
        <f aca="false">Simulation!A19</f>
        <v>Standard chassis</v>
      </c>
      <c r="B19" s="4" t="str">
        <f aca="false">Simulation!B19</f>
        <v>Spiked wheels</v>
      </c>
      <c r="C19" s="4" t="str">
        <f aca="false">Simulation!C19</f>
        <v>Small motor</v>
      </c>
      <c r="D19" s="11" t="n">
        <f aca="false">MIN(Simulation!D19,Simulation!E19)</f>
        <v>9.033</v>
      </c>
      <c r="E19" s="4" t="str">
        <f aca="false">IF(D19&lt;=Inputs!$B$30,"Pass","Fail")</f>
        <v>Fail</v>
      </c>
      <c r="F19" s="11" t="n">
        <f aca="false">Simulation!F19</f>
        <v>6.642</v>
      </c>
      <c r="G19" s="11" t="n">
        <f aca="false">Simulation!G19</f>
        <v>16.173</v>
      </c>
      <c r="H19" s="4" t="str">
        <f aca="false">IF(AND(F19&lt;=Inputs!$B$32,G19&gt;=Inputs!$B$33),"Pass","Fail")</f>
        <v>Fail</v>
      </c>
      <c r="I19" s="11" t="n">
        <f aca="false">Simulation!H19</f>
        <v>18.331</v>
      </c>
      <c r="J19" s="4" t="str">
        <f aca="false">IF(I19&lt;=Inputs!$B$36,"Pass","Fail")</f>
        <v>Pass</v>
      </c>
      <c r="K19" s="4" t="str">
        <f aca="false">IF(AND(E19="Pass",H19="Pass",J19="Pass"),"Pass","Fail")</f>
        <v>Fail</v>
      </c>
    </row>
    <row r="20" customFormat="false" ht="15" hidden="false" customHeight="true" outlineLevel="0" collapsed="false">
      <c r="A20" s="4" t="str">
        <f aca="false">Simulation!A20</f>
        <v>Standard chassis</v>
      </c>
      <c r="B20" s="4" t="str">
        <f aca="false">Simulation!B20</f>
        <v>Spiked wheels</v>
      </c>
      <c r="C20" s="4" t="str">
        <f aca="false">Simulation!C20</f>
        <v>Medium motor</v>
      </c>
      <c r="D20" s="11" t="n">
        <f aca="false">MIN(Simulation!D20,Simulation!E20)</f>
        <v>8.633</v>
      </c>
      <c r="E20" s="4" t="str">
        <f aca="false">IF(D20&lt;=Inputs!$B$30,"Pass","Fail")</f>
        <v>Pass</v>
      </c>
      <c r="F20" s="11" t="n">
        <f aca="false">Simulation!F20</f>
        <v>6.583</v>
      </c>
      <c r="G20" s="11" t="n">
        <f aca="false">Simulation!G20</f>
        <v>16.182</v>
      </c>
      <c r="H20" s="4" t="str">
        <f aca="false">IF(AND(F20&lt;=Inputs!$B$32,G20&gt;=Inputs!$B$33),"Pass","Fail")</f>
        <v>Fail</v>
      </c>
      <c r="I20" s="11" t="n">
        <f aca="false">Simulation!H20</f>
        <v>19.015</v>
      </c>
      <c r="J20" s="4" t="str">
        <f aca="false">IF(I20&lt;=Inputs!$B$36,"Pass","Fail")</f>
        <v>Pass</v>
      </c>
      <c r="K20" s="4" t="str">
        <f aca="false">IF(AND(E20="Pass",H20="Pass",J20="Pass"),"Pass","Fail")</f>
        <v>Fail</v>
      </c>
    </row>
    <row r="21" customFormat="false" ht="15" hidden="false" customHeight="true" outlineLevel="0" collapsed="false">
      <c r="A21" s="4" t="str">
        <f aca="false">Simulation!A21</f>
        <v>Standard chassis</v>
      </c>
      <c r="B21" s="4" t="str">
        <f aca="false">Simulation!B21</f>
        <v>Spiked wheels</v>
      </c>
      <c r="C21" s="4" t="str">
        <f aca="false">Simulation!C21</f>
        <v>Large motor</v>
      </c>
      <c r="D21" s="11" t="n">
        <f aca="false">MIN(Simulation!D21,Simulation!E21)</f>
        <v>8.408</v>
      </c>
      <c r="E21" s="4" t="str">
        <f aca="false">IF(D21&lt;=Inputs!$B$30,"Pass","Fail")</f>
        <v>Pass</v>
      </c>
      <c r="F21" s="11" t="n">
        <f aca="false">Simulation!F21</f>
        <v>6.542</v>
      </c>
      <c r="G21" s="11" t="n">
        <f aca="false">Simulation!G21</f>
        <v>16.169</v>
      </c>
      <c r="H21" s="4" t="str">
        <f aca="false">IF(AND(F21&lt;=Inputs!$B$32,G21&gt;=Inputs!$B$33),"Pass","Fail")</f>
        <v>Fail</v>
      </c>
      <c r="I21" s="11" t="n">
        <f aca="false">Simulation!H21</f>
        <v>20.036</v>
      </c>
      <c r="J21" s="4" t="str">
        <f aca="false">IF(I21&lt;=Inputs!$B$36,"Pass","Fail")</f>
        <v>Pass</v>
      </c>
      <c r="K21" s="4" t="str">
        <f aca="false">IF(AND(E21="Pass",H21="Pass",J21="Pass"),"Pass","Fail")</f>
        <v>Fail</v>
      </c>
    </row>
    <row r="22" customFormat="false" ht="15" hidden="false" customHeight="true" outlineLevel="0" collapsed="false">
      <c r="A22" s="4" t="str">
        <f aca="false">Simulation!A22</f>
        <v>Heavy chassis</v>
      </c>
      <c r="B22" s="4" t="str">
        <f aca="false">Simulation!B22</f>
        <v>Smooth wheels</v>
      </c>
      <c r="C22" s="4" t="str">
        <f aca="false">Simulation!C22</f>
        <v>Small motor</v>
      </c>
      <c r="D22" s="11" t="n">
        <f aca="false">MIN(Simulation!D22,Simulation!E22)</f>
        <v>9.442</v>
      </c>
      <c r="E22" s="4" t="str">
        <f aca="false">IF(D22&lt;=Inputs!$B$30,"Pass","Fail")</f>
        <v>Fail</v>
      </c>
      <c r="F22" s="11" t="n">
        <f aca="false">Simulation!F22</f>
        <v>8.45</v>
      </c>
      <c r="G22" s="11" t="n">
        <f aca="false">Simulation!G22</f>
        <v>25.692</v>
      </c>
      <c r="H22" s="4" t="str">
        <f aca="false">IF(AND(F22&lt;=Inputs!$B$32,G22&gt;=Inputs!$B$33),"Pass","Fail")</f>
        <v>Fail</v>
      </c>
      <c r="I22" s="11" t="n">
        <f aca="false">Simulation!H22</f>
        <v>22.012</v>
      </c>
      <c r="J22" s="4" t="str">
        <f aca="false">IF(I22&lt;=Inputs!$B$36,"Pass","Fail")</f>
        <v>Pass</v>
      </c>
      <c r="K22" s="4" t="str">
        <f aca="false">IF(AND(E22="Pass",H22="Pass",J22="Pass"),"Pass","Fail")</f>
        <v>Fail</v>
      </c>
    </row>
    <row r="23" customFormat="false" ht="15" hidden="false" customHeight="true" outlineLevel="0" collapsed="false">
      <c r="A23" s="4" t="str">
        <f aca="false">Simulation!A23</f>
        <v>Heavy chassis</v>
      </c>
      <c r="B23" s="4" t="str">
        <f aca="false">Simulation!B23</f>
        <v>Smooth wheels</v>
      </c>
      <c r="C23" s="4" t="str">
        <f aca="false">Simulation!C23</f>
        <v>Medium motor</v>
      </c>
      <c r="D23" s="11" t="n">
        <f aca="false">MIN(Simulation!D23,Simulation!E23)</f>
        <v>8.458</v>
      </c>
      <c r="E23" s="4" t="str">
        <f aca="false">IF(D23&lt;=Inputs!$B$30,"Pass","Fail")</f>
        <v>Pass</v>
      </c>
      <c r="F23" s="11" t="n">
        <f aca="false">Simulation!F23</f>
        <v>8.417</v>
      </c>
      <c r="G23" s="11" t="n">
        <f aca="false">Simulation!G23</f>
        <v>25.74</v>
      </c>
      <c r="H23" s="4" t="str">
        <f aca="false">IF(AND(F23&lt;=Inputs!$B$32,G23&gt;=Inputs!$B$33),"Pass","Fail")</f>
        <v>Fail</v>
      </c>
      <c r="I23" s="11" t="n">
        <f aca="false">Simulation!H23</f>
        <v>22.733</v>
      </c>
      <c r="J23" s="4" t="str">
        <f aca="false">IF(I23&lt;=Inputs!$B$36,"Pass","Fail")</f>
        <v>Pass</v>
      </c>
      <c r="K23" s="4" t="str">
        <f aca="false">IF(AND(E23="Pass",H23="Pass",J23="Pass"),"Pass","Fail")</f>
        <v>Fail</v>
      </c>
    </row>
    <row r="24" customFormat="false" ht="15" hidden="false" customHeight="true" outlineLevel="0" collapsed="false">
      <c r="A24" s="4" t="str">
        <f aca="false">Simulation!A24</f>
        <v>Heavy chassis</v>
      </c>
      <c r="B24" s="4" t="str">
        <f aca="false">Simulation!B24</f>
        <v>Smooth wheels</v>
      </c>
      <c r="C24" s="4" t="str">
        <f aca="false">Simulation!C24</f>
        <v>Large motor</v>
      </c>
      <c r="D24" s="11" t="n">
        <f aca="false">MIN(Simulation!D24,Simulation!E24)</f>
        <v>8.7</v>
      </c>
      <c r="E24" s="4" t="str">
        <f aca="false">IF(D24&lt;=Inputs!$B$30,"Pass","Fail")</f>
        <v>Pass</v>
      </c>
      <c r="F24" s="11" t="n">
        <f aca="false">Simulation!F24</f>
        <v>8.383</v>
      </c>
      <c r="G24" s="11" t="n">
        <f aca="false">Simulation!G24</f>
        <v>25.701</v>
      </c>
      <c r="H24" s="4" t="str">
        <f aca="false">IF(AND(F24&lt;=Inputs!$B$32,G24&gt;=Inputs!$B$33),"Pass","Fail")</f>
        <v>Fail</v>
      </c>
      <c r="I24" s="11" t="n">
        <f aca="false">Simulation!H24</f>
        <v>23.811</v>
      </c>
      <c r="J24" s="4" t="str">
        <f aca="false">IF(I24&lt;=Inputs!$B$36,"Pass","Fail")</f>
        <v>Fail</v>
      </c>
      <c r="K24" s="4" t="str">
        <f aca="false">IF(AND(E24="Pass",H24="Pass",J24="Pass"),"Pass","Fail")</f>
        <v>Fail</v>
      </c>
    </row>
    <row r="25" customFormat="false" ht="15" hidden="false" customHeight="true" outlineLevel="0" collapsed="false">
      <c r="A25" s="4" t="str">
        <f aca="false">Simulation!A25</f>
        <v>Heavy chassis</v>
      </c>
      <c r="B25" s="4" t="str">
        <f aca="false">Simulation!B25</f>
        <v>All-terrain wheels</v>
      </c>
      <c r="C25" s="4" t="str">
        <f aca="false">Simulation!C25</f>
        <v>Small motor</v>
      </c>
      <c r="D25" s="11" t="n">
        <f aca="false">MIN(Simulation!D25,Simulation!E25)</f>
        <v>9.675</v>
      </c>
      <c r="E25" s="4" t="str">
        <f aca="false">IF(D25&lt;=Inputs!$B$30,"Pass","Fail")</f>
        <v>Fail</v>
      </c>
      <c r="F25" s="11" t="n">
        <f aca="false">Simulation!F25</f>
        <v>7.725</v>
      </c>
      <c r="G25" s="11" t="n">
        <f aca="false">Simulation!G25</f>
        <v>18.752</v>
      </c>
      <c r="H25" s="4" t="str">
        <f aca="false">IF(AND(F25&lt;=Inputs!$B$32,G25&gt;=Inputs!$B$33),"Pass","Fail")</f>
        <v>Pass</v>
      </c>
      <c r="I25" s="11" t="n">
        <f aca="false">Simulation!H25</f>
        <v>22.29</v>
      </c>
      <c r="J25" s="4" t="str">
        <f aca="false">IF(I25&lt;=Inputs!$B$36,"Pass","Fail")</f>
        <v>Pass</v>
      </c>
      <c r="K25" s="4" t="str">
        <f aca="false">IF(AND(E25="Pass",H25="Pass",J25="Pass"),"Pass","Fail")</f>
        <v>Fail</v>
      </c>
    </row>
    <row r="26" customFormat="false" ht="15" hidden="false" customHeight="true" outlineLevel="0" collapsed="false">
      <c r="A26" s="4" t="str">
        <f aca="false">Simulation!A26</f>
        <v>Heavy chassis</v>
      </c>
      <c r="B26" s="4" t="str">
        <f aca="false">Simulation!B26</f>
        <v>All-terrain wheels</v>
      </c>
      <c r="C26" s="4" t="str">
        <f aca="false">Simulation!C26</f>
        <v>Medium motor</v>
      </c>
      <c r="D26" s="11" t="n">
        <f aca="false">MIN(Simulation!D26,Simulation!E26)</f>
        <v>9.042</v>
      </c>
      <c r="E26" s="4" t="str">
        <f aca="false">IF(D26&lt;=Inputs!$B$30,"Pass","Fail")</f>
        <v>Fail</v>
      </c>
      <c r="F26" s="11" t="n">
        <f aca="false">Simulation!F26</f>
        <v>7.675</v>
      </c>
      <c r="G26" s="11" t="n">
        <f aca="false">Simulation!G26</f>
        <v>18.775</v>
      </c>
      <c r="H26" s="4" t="str">
        <f aca="false">IF(AND(F26&lt;=Inputs!$B$32,G26&gt;=Inputs!$B$33),"Pass","Fail")</f>
        <v>Pass</v>
      </c>
      <c r="I26" s="11" t="n">
        <f aca="false">Simulation!H26</f>
        <v>22.988</v>
      </c>
      <c r="J26" s="4" t="str">
        <f aca="false">IF(I26&lt;=Inputs!$B$36,"Pass","Fail")</f>
        <v>Pass</v>
      </c>
      <c r="K26" s="4" t="str">
        <f aca="false">IF(AND(E26="Pass",H26="Pass",J26="Pass"),"Pass","Fail")</f>
        <v>Fail</v>
      </c>
    </row>
    <row r="27" customFormat="false" ht="15" hidden="false" customHeight="true" outlineLevel="0" collapsed="false">
      <c r="A27" s="4" t="str">
        <f aca="false">Simulation!A27</f>
        <v>Heavy chassis</v>
      </c>
      <c r="B27" s="4" t="str">
        <f aca="false">Simulation!B27</f>
        <v>All-terrain wheels</v>
      </c>
      <c r="C27" s="4" t="str">
        <f aca="false">Simulation!C27</f>
        <v>Large motor</v>
      </c>
      <c r="D27" s="11" t="n">
        <f aca="false">MIN(Simulation!D27,Simulation!E27)</f>
        <v>8.558</v>
      </c>
      <c r="E27" s="4" t="str">
        <f aca="false">IF(D27&lt;=Inputs!$B$30,"Pass","Fail")</f>
        <v>Pass</v>
      </c>
      <c r="F27" s="11" t="n">
        <f aca="false">Simulation!F27</f>
        <v>7.642</v>
      </c>
      <c r="G27" s="11" t="n">
        <f aca="false">Simulation!G27</f>
        <v>18.786</v>
      </c>
      <c r="H27" s="4" t="str">
        <f aca="false">IF(AND(F27&lt;=Inputs!$B$32,G27&gt;=Inputs!$B$33),"Pass","Fail")</f>
        <v>Pass</v>
      </c>
      <c r="I27" s="11" t="n">
        <f aca="false">Simulation!H27</f>
        <v>24.033</v>
      </c>
      <c r="J27" s="4" t="str">
        <f aca="false">IF(I27&lt;=Inputs!$B$36,"Pass","Fail")</f>
        <v>Fail</v>
      </c>
      <c r="K27" s="4" t="str">
        <f aca="false">IF(AND(E27="Pass",H27="Pass",J27="Pass"),"Pass","Fail")</f>
        <v>Fail</v>
      </c>
    </row>
    <row r="28" customFormat="false" ht="15" hidden="false" customHeight="true" outlineLevel="0" collapsed="false">
      <c r="A28" s="4" t="str">
        <f aca="false">Simulation!A28</f>
        <v>Heavy chassis</v>
      </c>
      <c r="B28" s="4" t="str">
        <f aca="false">Simulation!B28</f>
        <v>Spiked wheels</v>
      </c>
      <c r="C28" s="4" t="str">
        <f aca="false">Simulation!C28</f>
        <v>Small motor</v>
      </c>
      <c r="D28" s="11" t="n">
        <f aca="false">MIN(Simulation!D28,Simulation!E28)</f>
        <v>10.008</v>
      </c>
      <c r="E28" s="4" t="str">
        <f aca="false">IF(D28&lt;=Inputs!$B$30,"Pass","Fail")</f>
        <v>Fail</v>
      </c>
      <c r="F28" s="11" t="n">
        <f aca="false">Simulation!F28</f>
        <v>6.708</v>
      </c>
      <c r="G28" s="11" t="n">
        <f aca="false">Simulation!G28</f>
        <v>16.178</v>
      </c>
      <c r="H28" s="4" t="str">
        <f aca="false">IF(AND(F28&lt;=Inputs!$B$32,G28&gt;=Inputs!$B$33),"Pass","Fail")</f>
        <v>Fail</v>
      </c>
      <c r="I28" s="11" t="n">
        <f aca="false">Simulation!H28</f>
        <v>22.391</v>
      </c>
      <c r="J28" s="4" t="str">
        <f aca="false">IF(I28&lt;=Inputs!$B$36,"Pass","Fail")</f>
        <v>Pass</v>
      </c>
      <c r="K28" s="4" t="str">
        <f aca="false">IF(AND(E28="Pass",H28="Pass",J28="Pass"),"Pass","Fail")</f>
        <v>Fail</v>
      </c>
    </row>
    <row r="29" customFormat="false" ht="15" hidden="false" customHeight="true" outlineLevel="0" collapsed="false">
      <c r="A29" s="4" t="str">
        <f aca="false">Simulation!A29</f>
        <v>Heavy chassis</v>
      </c>
      <c r="B29" s="4" t="str">
        <f aca="false">Simulation!B29</f>
        <v>Spiked wheels</v>
      </c>
      <c r="C29" s="4" t="str">
        <f aca="false">Simulation!C29</f>
        <v>Medium motor</v>
      </c>
      <c r="D29" s="11" t="n">
        <f aca="false">MIN(Simulation!D29,Simulation!E29)</f>
        <v>9.217</v>
      </c>
      <c r="E29" s="4" t="str">
        <f aca="false">IF(D29&lt;=Inputs!$B$30,"Pass","Fail")</f>
        <v>Fail</v>
      </c>
      <c r="F29" s="11" t="n">
        <f aca="false">Simulation!F29</f>
        <v>6.625</v>
      </c>
      <c r="G29" s="11" t="n">
        <f aca="false">Simulation!G29</f>
        <v>16.161</v>
      </c>
      <c r="H29" s="4" t="str">
        <f aca="false">IF(AND(F29&lt;=Inputs!$B$32,G29&gt;=Inputs!$B$33),"Pass","Fail")</f>
        <v>Fail</v>
      </c>
      <c r="I29" s="11" t="n">
        <f aca="false">Simulation!H29</f>
        <v>23.058</v>
      </c>
      <c r="J29" s="4" t="str">
        <f aca="false">IF(I29&lt;=Inputs!$B$36,"Pass","Fail")</f>
        <v>Fail</v>
      </c>
      <c r="K29" s="4" t="str">
        <f aca="false">IF(AND(E29="Pass",H29="Pass",J29="Pass"),"Pass","Fail")</f>
        <v>Fail</v>
      </c>
    </row>
    <row r="30" customFormat="false" ht="15" hidden="false" customHeight="true" outlineLevel="0" collapsed="false">
      <c r="A30" s="4" t="str">
        <f aca="false">Simulation!A30</f>
        <v>Heavy chassis</v>
      </c>
      <c r="B30" s="4" t="str">
        <f aca="false">Simulation!B30</f>
        <v>Spiked wheels</v>
      </c>
      <c r="C30" s="4" t="str">
        <f aca="false">Simulation!C30</f>
        <v>Large motor</v>
      </c>
      <c r="D30" s="11" t="n">
        <f aca="false">MIN(Simulation!D30,Simulation!E30)</f>
        <v>9.167</v>
      </c>
      <c r="E30" s="4" t="str">
        <f aca="false">IF(D30&lt;=Inputs!$B$30,"Pass","Fail")</f>
        <v>Fail</v>
      </c>
      <c r="F30" s="11" t="n">
        <f aca="false">Simulation!F30</f>
        <v>6.575</v>
      </c>
      <c r="G30" s="11" t="n">
        <f aca="false">Simulation!G30</f>
        <v>16.172</v>
      </c>
      <c r="H30" s="4" t="str">
        <f aca="false">IF(AND(F30&lt;=Inputs!$B$32,G30&gt;=Inputs!$B$33),"Pass","Fail")</f>
        <v>Fail</v>
      </c>
      <c r="I30" s="11" t="n">
        <f aca="false">Simulation!H30</f>
        <v>24.053</v>
      </c>
      <c r="J30" s="4" t="str">
        <f aca="false">IF(I30&lt;=Inputs!$B$36,"Pass","Fail")</f>
        <v>Fail</v>
      </c>
      <c r="K30" s="4" t="str">
        <f aca="false">IF(AND(E30="Pass",H30="Pass",J30="Pass"),"Pass","Fail")</f>
        <v>Fail</v>
      </c>
    </row>
    <row r="32" customFormat="false" ht="15" hidden="false" customHeight="true" outlineLevel="0" collapsed="false">
      <c r="A32" s="3" t="s">
        <v>139</v>
      </c>
      <c r="E32" s="4" t="n">
        <f aca="false">COUNTIF(E4:E30,"Pass")</f>
        <v>20</v>
      </c>
      <c r="H32" s="4" t="n">
        <f aca="false">COUNTIF(H4:H30,"Pass")</f>
        <v>9</v>
      </c>
      <c r="J32" s="4" t="n">
        <f aca="false">COUNTIF(J4:J30,"Pass")</f>
        <v>23</v>
      </c>
      <c r="K32" s="4" t="n">
        <f aca="false">COUNTIF(K4:K30,"Pass")</f>
        <v>6</v>
      </c>
    </row>
    <row r="33" customFormat="false" ht="15" hidden="false" customHeight="true" outlineLevel="0" collapsed="false">
      <c r="A33" s="3" t="s">
        <v>140</v>
      </c>
      <c r="E33" s="4" t="str">
        <f aca="false">INDEX(K4:K30,MATCH(1,INDEX((A4:A30="Standard chassis")*(B4:B30="All-terrain wheels")*(C4:C30="Medium motor"),0),0))</f>
        <v>Pass</v>
      </c>
    </row>
  </sheetData>
  <conditionalFormatting sqref="E4:E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H4:H30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conditionalFormatting sqref="J4:J30">
    <cfRule type="cellIs" priority="6" operator="equal" aboveAverage="0" equalAverage="0" bottom="0" percent="0" rank="0" text="" dxfId="0">
      <formula>"Pass"</formula>
    </cfRule>
    <cfRule type="cellIs" priority="7" operator="equal" aboveAverage="0" equalAverage="0" bottom="0" percent="0" rank="0" text="" dxfId="1">
      <formula>"Fail"</formula>
    </cfRule>
  </conditionalFormatting>
  <conditionalFormatting sqref="K4:K30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0"/>
    <col collapsed="false" customWidth="true" hidden="false" outlineLevel="0" max="4" min="3" style="1" width="16"/>
    <col collapsed="false" customWidth="true" hidden="false" outlineLevel="0" max="5" min="5" style="1" width="8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2" t="s">
        <v>141</v>
      </c>
    </row>
    <row r="3" customFormat="false" ht="26.25" hidden="false" customHeight="true" outlineLevel="0" collapsed="false">
      <c r="A3" s="6" t="s">
        <v>142</v>
      </c>
      <c r="B3" s="6" t="s">
        <v>143</v>
      </c>
      <c r="C3" s="6" t="s">
        <v>144</v>
      </c>
      <c r="D3" s="6" t="s">
        <v>145</v>
      </c>
      <c r="E3" s="6" t="s">
        <v>28</v>
      </c>
    </row>
    <row r="4" customFormat="false" ht="15" hidden="false" customHeight="true" outlineLevel="0" collapsed="false">
      <c r="A4" s="4" t="s">
        <v>146</v>
      </c>
      <c r="B4" s="7" t="n">
        <v>9</v>
      </c>
      <c r="C4" s="7" t="n">
        <v>10</v>
      </c>
      <c r="D4" s="4" t="n">
        <f aca="false">B4*C4</f>
        <v>90</v>
      </c>
      <c r="E4" s="4" t="s">
        <v>147</v>
      </c>
    </row>
    <row r="5" customFormat="false" ht="15" hidden="false" customHeight="true" outlineLevel="0" collapsed="false">
      <c r="A5" s="4" t="s">
        <v>148</v>
      </c>
      <c r="B5" s="7" t="n">
        <v>6</v>
      </c>
      <c r="C5" s="7" t="n">
        <v>5</v>
      </c>
      <c r="D5" s="4" t="n">
        <f aca="false">B5*C5</f>
        <v>30</v>
      </c>
      <c r="E5" s="4" t="s">
        <v>149</v>
      </c>
    </row>
    <row r="6" customFormat="false" ht="15" hidden="false" customHeight="true" outlineLevel="0" collapsed="false">
      <c r="A6" s="4" t="s">
        <v>150</v>
      </c>
      <c r="B6" s="7" t="n">
        <v>6</v>
      </c>
      <c r="C6" s="7" t="n">
        <v>5</v>
      </c>
      <c r="D6" s="4" t="n">
        <f aca="false">B6*C6</f>
        <v>30</v>
      </c>
      <c r="E6" s="4" t="s">
        <v>151</v>
      </c>
    </row>
    <row r="7" customFormat="false" ht="15" hidden="false" customHeight="true" outlineLevel="0" collapsed="false">
      <c r="A7" s="3" t="s">
        <v>152</v>
      </c>
      <c r="D7" s="3" t="n">
        <f aca="false">SUM(D4:D6)</f>
        <v>150</v>
      </c>
    </row>
    <row r="9" customFormat="false" ht="26.25" hidden="false" customHeight="true" outlineLevel="0" collapsed="false">
      <c r="A9" s="6" t="s">
        <v>153</v>
      </c>
      <c r="B9" s="6" t="s">
        <v>143</v>
      </c>
      <c r="C9" s="6" t="s">
        <v>154</v>
      </c>
      <c r="D9" s="6" t="s">
        <v>155</v>
      </c>
      <c r="E9" s="6" t="s">
        <v>28</v>
      </c>
      <c r="F9" s="6" t="s">
        <v>156</v>
      </c>
    </row>
    <row r="10" customFormat="false" ht="15" hidden="false" customHeight="true" outlineLevel="0" collapsed="false">
      <c r="A10" s="4" t="s">
        <v>157</v>
      </c>
      <c r="B10" s="7" t="n">
        <v>2</v>
      </c>
      <c r="C10" s="7" t="n">
        <v>20</v>
      </c>
      <c r="D10" s="4" t="n">
        <f aca="false">B10*C10</f>
        <v>40</v>
      </c>
      <c r="E10" s="4" t="s">
        <v>158</v>
      </c>
      <c r="F10" s="10" t="n">
        <f aca="false">C10/$C$4</f>
        <v>2</v>
      </c>
    </row>
    <row r="11" customFormat="false" ht="15" hidden="false" customHeight="true" outlineLevel="0" collapsed="false">
      <c r="A11" s="4" t="s">
        <v>159</v>
      </c>
      <c r="B11" s="7" t="n">
        <v>6</v>
      </c>
      <c r="C11" s="7" t="n">
        <v>15</v>
      </c>
      <c r="D11" s="4" t="n">
        <f aca="false">B11*C11</f>
        <v>90</v>
      </c>
      <c r="E11" s="4" t="s">
        <v>160</v>
      </c>
      <c r="F11" s="10" t="n">
        <f aca="false">C11/$C$4</f>
        <v>1.5</v>
      </c>
    </row>
    <row r="12" customFormat="false" ht="15" hidden="false" customHeight="true" outlineLevel="0" collapsed="false">
      <c r="A12" s="3" t="s">
        <v>161</v>
      </c>
      <c r="D12" s="3" t="n">
        <f aca="false">SUM(D10:D11)</f>
        <v>130</v>
      </c>
    </row>
    <row r="14" customFormat="false" ht="15" hidden="false" customHeight="true" outlineLevel="0" collapsed="false">
      <c r="A14" s="3" t="s">
        <v>162</v>
      </c>
      <c r="D14" s="3" t="n">
        <f aca="false">D7-D12</f>
        <v>20</v>
      </c>
    </row>
    <row r="15" customFormat="false" ht="15" hidden="false" customHeight="true" outlineLevel="0" collapsed="false">
      <c r="A15" s="3" t="s">
        <v>163</v>
      </c>
      <c r="D15" s="12" t="n">
        <f aca="false">D12/D7</f>
        <v>0.866666666666667</v>
      </c>
    </row>
    <row r="17" customFormat="false" ht="15" hidden="false" customHeight="true" outlineLevel="0" collapsed="false">
      <c r="A17" s="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165</v>
      </c>
    </row>
    <row r="3" customFormat="false" ht="26.25" hidden="false" customHeight="true" outlineLevel="0" collapsed="false">
      <c r="A3" s="6" t="s">
        <v>166</v>
      </c>
      <c r="B3" s="6" t="s">
        <v>167</v>
      </c>
      <c r="C3" s="6" t="s">
        <v>168</v>
      </c>
      <c r="D3" s="6" t="s">
        <v>169</v>
      </c>
    </row>
    <row r="4" customFormat="false" ht="15" hidden="false" customHeight="true" outlineLevel="0" collapsed="false">
      <c r="A4" s="4" t="str">
        <f aca="false">Builds!D3</f>
        <v>Mass m (kg)</v>
      </c>
      <c r="B4" s="11" t="n">
        <f aca="false">MIN(Builds!D4:D30)</f>
        <v>151</v>
      </c>
      <c r="C4" s="11" t="n">
        <f aca="false">MAX(Builds!D4:D30)</f>
        <v>292</v>
      </c>
      <c r="D4" s="11" t="n">
        <f aca="false">IF(B4&gt;0,C4/B4,"-")</f>
        <v>1.93377483443709</v>
      </c>
    </row>
    <row r="5" customFormat="false" ht="15" hidden="false" customHeight="true" outlineLevel="0" collapsed="false">
      <c r="A5" s="4" t="str">
        <f aca="false">Builds!E3</f>
        <v>R (N)</v>
      </c>
      <c r="B5" s="11" t="n">
        <f aca="false">MIN(Builds!E4:E30)</f>
        <v>1479.8</v>
      </c>
      <c r="C5" s="11" t="n">
        <f aca="false">MAX(Builds!E4:E30)</f>
        <v>2861.6</v>
      </c>
      <c r="D5" s="11" t="n">
        <f aca="false">IF(B5&gt;0,C5/B5,"-")</f>
        <v>1.93377483443709</v>
      </c>
    </row>
    <row r="6" customFormat="false" ht="15" hidden="false" customHeight="true" outlineLevel="0" collapsed="false">
      <c r="A6" s="4" t="str">
        <f aca="false">Builds!I3</f>
        <v>v_max (m/s)</v>
      </c>
      <c r="B6" s="11" t="n">
        <f aca="false">MIN(Builds!I4:I30)</f>
        <v>14</v>
      </c>
      <c r="C6" s="11" t="n">
        <f aca="false">MAX(Builds!I4:I30)</f>
        <v>18</v>
      </c>
      <c r="D6" s="11" t="n">
        <f aca="false">IF(B6&gt;0,C6/B6,"-")</f>
        <v>1.28571428571429</v>
      </c>
    </row>
    <row r="7" customFormat="false" ht="15" hidden="false" customHeight="true" outlineLevel="0" collapsed="false">
      <c r="A7" s="4" t="str">
        <f aca="false">Builds!J3</f>
        <v>Max accel, asphalt (m/s²)</v>
      </c>
      <c r="B7" s="11" t="n">
        <f aca="false">MIN(Builds!J4:J30)</f>
        <v>2.30812284644195</v>
      </c>
      <c r="C7" s="11" t="n">
        <f aca="false">MAX(Builds!J4:J30)</f>
        <v>7.41269565217391</v>
      </c>
      <c r="D7" s="11" t="n">
        <f aca="false">IF(B7&gt;0,C7/B7,"-")</f>
        <v>3.21156894382846</v>
      </c>
    </row>
    <row r="8" customFormat="false" ht="15" hidden="false" customHeight="true" outlineLevel="0" collapsed="false">
      <c r="A8" s="4" t="str">
        <f aca="false">Builds!K3</f>
        <v>Max accel, sand (m/s²)</v>
      </c>
      <c r="B8" s="11" t="n">
        <f aca="false">MIN(Builds!K4:K30)</f>
        <v>0.740122846441947</v>
      </c>
      <c r="C8" s="11" t="n">
        <f aca="false">MAX(Builds!K4:K30)</f>
        <v>4.9784</v>
      </c>
      <c r="D8" s="11" t="n">
        <f aca="false">IF(B8&gt;0,C8/B8,"-")</f>
        <v>6.72645091815915</v>
      </c>
    </row>
    <row r="9" customFormat="false" ht="15" hidden="false" customHeight="true" outlineLevel="0" collapsed="false">
      <c r="A9" s="4" t="str">
        <f aca="false">Builds!L3</f>
        <v>Max accel, ice (m/s²)</v>
      </c>
      <c r="B9" s="11" t="n">
        <f aca="false">MIN(Builds!L4:L30)</f>
        <v>0.7252</v>
      </c>
      <c r="C9" s="11" t="n">
        <f aca="false">MAX(Builds!L4:L30)</f>
        <v>1.2152</v>
      </c>
      <c r="D9" s="11" t="n">
        <f aca="false">IF(B9&gt;0,C9/B9,"-")</f>
        <v>1.67567567567568</v>
      </c>
    </row>
    <row r="10" customFormat="false" ht="15" hidden="false" customHeight="true" outlineLevel="0" collapsed="false">
      <c r="A10" s="4" t="str">
        <f aca="false">Builds!M3</f>
        <v>Braking decel, asphalt (m/s²)</v>
      </c>
      <c r="B10" s="11" t="n">
        <f aca="false">MIN(Builds!M4:M30)</f>
        <v>5.45058630136986</v>
      </c>
      <c r="C10" s="11" t="n">
        <f aca="false">MAX(Builds!M4:M30)</f>
        <v>9.29563592814371</v>
      </c>
      <c r="D10" s="11" t="n">
        <f aca="false">IF(B10&gt;0,C10/B10,"-")</f>
        <v>1.70543780323366</v>
      </c>
    </row>
    <row r="11" customFormat="false" ht="15" hidden="false" customHeight="true" outlineLevel="0" collapsed="false">
      <c r="A11" s="4" t="str">
        <f aca="false">Builds!N3</f>
        <v>Braking decel, sand (m/s²)</v>
      </c>
      <c r="B11" s="11" t="n">
        <f aca="false">MIN(Builds!N4:N30)</f>
        <v>4.6256</v>
      </c>
      <c r="C11" s="11" t="n">
        <f aca="false">MAX(Builds!N4:N30)</f>
        <v>8.7416</v>
      </c>
      <c r="D11" s="11" t="n">
        <f aca="false">IF(B11&gt;0,C11/B11,"-")</f>
        <v>1.88983050847458</v>
      </c>
    </row>
    <row r="12" customFormat="false" ht="15" hidden="false" customHeight="true" outlineLevel="0" collapsed="false">
      <c r="A12" s="4" t="str">
        <f aca="false">Builds!O3</f>
        <v>Braking decel, ice (m/s²)</v>
      </c>
      <c r="B12" s="11" t="n">
        <f aca="false">MIN(Builds!O4:O30)</f>
        <v>0.8428</v>
      </c>
      <c r="C12" s="11" t="n">
        <f aca="false">MAX(Builds!O4:O30)</f>
        <v>1.5288</v>
      </c>
      <c r="D12" s="11" t="n">
        <f aca="false">IF(B12&gt;0,C12/B12,"-")</f>
        <v>1.81395348837209</v>
      </c>
    </row>
    <row r="13" customFormat="false" ht="15" hidden="false" customHeight="true" outlineLevel="0" collapsed="false">
      <c r="A13" s="4" t="str">
        <f aca="false">Builds!P3</f>
        <v>Coasting decel, asphalt (m/s²)</v>
      </c>
      <c r="B13" s="11" t="n">
        <f aca="false">MIN(Builds!P4:P30)</f>
        <v>0.1176</v>
      </c>
      <c r="C13" s="11" t="n">
        <f aca="false">MAX(Builds!P4:P30)</f>
        <v>0.3136</v>
      </c>
      <c r="D13" s="11" t="n">
        <f aca="false">IF(B13&gt;0,C13/B13,"-")</f>
        <v>2.66666666666667</v>
      </c>
    </row>
    <row r="14" customFormat="false" ht="15" hidden="false" customHeight="true" outlineLevel="0" collapsed="false">
      <c r="A14" s="4" t="str">
        <f aca="false">Builds!Q3</f>
        <v>Coasting decel, sand (m/s²)</v>
      </c>
      <c r="B14" s="11" t="n">
        <f aca="false">MIN(Builds!Q4:Q30)</f>
        <v>0.7056</v>
      </c>
      <c r="C14" s="11" t="n">
        <f aca="false">MAX(Builds!Q4:Q30)</f>
        <v>1.8816</v>
      </c>
      <c r="D14" s="11" t="n">
        <f aca="false">IF(B14&gt;0,C14/B14,"-")</f>
        <v>2.66666666666667</v>
      </c>
    </row>
    <row r="15" customFormat="false" ht="15" hidden="false" customHeight="true" outlineLevel="0" collapsed="false">
      <c r="A15" s="4" t="str">
        <f aca="false">Builds!R3</f>
        <v>Coasting decel, ice (m/s²)</v>
      </c>
      <c r="B15" s="11" t="n">
        <f aca="false">MIN(Builds!R4:R30)</f>
        <v>0.0588</v>
      </c>
      <c r="C15" s="11" t="n">
        <f aca="false">MAX(Builds!R4:R30)</f>
        <v>0.1568</v>
      </c>
      <c r="D15" s="11" t="n">
        <f aca="false">IF(B15&gt;0,C15/B15,"-")</f>
        <v>2.66666666666667</v>
      </c>
    </row>
    <row r="16" customFormat="false" ht="15" hidden="false" customHeight="true" outlineLevel="0" collapsed="false">
      <c r="A16" s="4" t="str">
        <f aca="false">Builds!S3</f>
        <v>M1 time, asphalt route (s)</v>
      </c>
      <c r="B16" s="11" t="n">
        <f aca="false">MIN(Builds!S4:S30)</f>
        <v>7.54751618421188</v>
      </c>
      <c r="C16" s="11" t="n">
        <f aca="false">MAX(Builds!S4:S30)</f>
        <v>9.4548280807913</v>
      </c>
      <c r="D16" s="11" t="n">
        <f aca="false">IF(B16&gt;0,C16/B16,"-")</f>
        <v>1.25270722844811</v>
      </c>
    </row>
    <row r="17" customFormat="false" ht="15" hidden="false" customHeight="true" outlineLevel="0" collapsed="false">
      <c r="A17" s="4" t="str">
        <f aca="false">Builds!T3</f>
        <v>M1 time, sand shortcut (s)</v>
      </c>
      <c r="B17" s="11" t="n">
        <f aca="false">MIN(Builds!T4:T30)</f>
        <v>7.43557603730856</v>
      </c>
      <c r="C17" s="11" t="n">
        <f aca="false">MAX(Builds!T4:T30)</f>
        <v>15.1555797950711</v>
      </c>
      <c r="D17" s="11" t="n">
        <f aca="false">IF(B17&gt;0,C17/B17,"-")</f>
        <v>2.03825227783655</v>
      </c>
    </row>
    <row r="18" customFormat="false" ht="15" hidden="false" customHeight="true" outlineLevel="0" collapsed="false">
      <c r="A18" s="4" t="str">
        <f aca="false">Builds!V3</f>
        <v>M2 ice time (s)</v>
      </c>
      <c r="B18" s="11" t="n">
        <f aca="false">MIN(Builds!V4:V30)</f>
        <v>6.41447507238482</v>
      </c>
      <c r="C18" s="11" t="n">
        <f aca="false">MAX(Builds!V4:V30)</f>
        <v>8.30340276741566</v>
      </c>
      <c r="D18" s="11" t="n">
        <f aca="false">IF(B18&gt;0,C18/B18,"-")</f>
        <v>1.29447892052195</v>
      </c>
    </row>
    <row r="19" customFormat="false" ht="15" hidden="false" customHeight="true" outlineLevel="0" collapsed="false">
      <c r="A19" s="4" t="str">
        <f aca="false">Builds!W3</f>
        <v>M2 coasting distance (m)</v>
      </c>
      <c r="B19" s="11" t="n">
        <f aca="false">MIN(Builds!W4:W30)</f>
        <v>16.1458333333333</v>
      </c>
      <c r="C19" s="11" t="n">
        <f aca="false">MAX(Builds!W4:W30)</f>
        <v>25.6944444444445</v>
      </c>
      <c r="D19" s="11" t="n">
        <f aca="false">IF(B19&gt;0,C19/B19,"-")</f>
        <v>1.59139784946237</v>
      </c>
    </row>
    <row r="20" customFormat="false" ht="15" hidden="false" customHeight="true" outlineLevel="0" collapsed="false">
      <c r="A20" s="4" t="str">
        <f aca="false">Builds!Y3</f>
        <v>M3 stopping distance incl. build-up (m)</v>
      </c>
      <c r="B20" s="11" t="n">
        <f aca="false">MIN(Builds!Y4:Y30)</f>
        <v>15.6229100930388</v>
      </c>
      <c r="C20" s="11" t="n">
        <f aca="false">MAX(Builds!Y4:Y30)</f>
        <v>24.1114783862897</v>
      </c>
      <c r="D20" s="11" t="n">
        <f aca="false">IF(B20&gt;0,C20/B20,"-")</f>
        <v>1.5433410448309</v>
      </c>
    </row>
    <row r="22" customFormat="false" ht="15" hidden="false" customHeight="true" outlineLevel="0" collapsed="false">
      <c r="A22" s="3" t="s">
        <v>170</v>
      </c>
      <c r="B22" s="4" t="n">
        <f aca="false">SUMPRODUCT(--(Simulation!E4:E30&lt;Simulation!D4:D30))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2026-10-11T16:33:36Z</dcterms:created>
  <dc:creator>openpyxl</dc:creator>
  <dc:description/>
  <dc:language>en-US</dc:language>
  <cp:lastModifiedBy/>
  <dcterms:modified xsi:type="dcterms:W3CDTF">2026-10-11T20:17:47Z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